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Users\HomePC\Desktop\EXCEL\"/>
    </mc:Choice>
  </mc:AlternateContent>
  <xr:revisionPtr revIDLastSave="0" documentId="13_ncr:1_{8F71F3C1-6FC4-4761-9EF8-E023F300C18A}" xr6:coauthVersionLast="47" xr6:coauthVersionMax="47" xr10:uidLastSave="{00000000-0000-0000-0000-000000000000}"/>
  <bookViews>
    <workbookView xWindow="-110" yWindow="-110" windowWidth="19420" windowHeight="10300" tabRatio="915" firstSheet="4" activeTab="4" xr2:uid="{4FC4CBE6-982A-425A-A951-D5F54DB52007}"/>
  </bookViews>
  <sheets>
    <sheet name="Unique" sheetId="9" state="hidden" r:id="rId1"/>
    <sheet name="SORT FUNCTION" sheetId="10" state="hidden" r:id="rId2"/>
    <sheet name="FILTER FUNCTION" sheetId="11" state="hidden" r:id="rId3"/>
    <sheet name="Pivot Table Diagram" sheetId="7" state="hidden" r:id="rId4"/>
    <sheet name="Data" sheetId="12" r:id="rId5"/>
  </sheets>
  <externalReferences>
    <externalReference r:id="rId6"/>
    <externalReference r:id="rId7"/>
    <externalReference r:id="rId8"/>
    <externalReference r:id="rId9"/>
  </externalReferences>
  <definedNames>
    <definedName name="Category">'[1]Database Functions'!$C$5:$C$62</definedName>
    <definedName name="CodeList">'[2]In List'!$C$2:$C$4</definedName>
    <definedName name="Division">'[1]Database Functions'!$B$5:$B$62</definedName>
    <definedName name="Gross_Margin" localSheetId="3">#REF!</definedName>
    <definedName name="Gross_Margin">#REF!</definedName>
    <definedName name="List" localSheetId="3">#REF!</definedName>
    <definedName name="List">#REF!</definedName>
    <definedName name="Number06">[2]!tblLottery[No6]</definedName>
    <definedName name="NumberCheck">[3]LotteryTable!$C1:INDEX(Number06,COUNT(Number06),1)</definedName>
    <definedName name="NumberCheckList">[2]LotteryList!$B1:INDEX([2]LotteryList!$G:$G,COUNTA([2]LotteryList!$G:$G),1)</definedName>
    <definedName name="Prod_Info">[4]Products!$A$3:$E$23</definedName>
    <definedName name="Q1soft">#REF!</definedName>
    <definedName name="Total_Expenses">'[1]Database Functions'!$G$5:$G$62</definedName>
    <definedName name="vlookup_table" localSheetId="3">#REF!</definedName>
    <definedName name="vlookup_table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1" l="1" a="1"/>
  <c r="F4" i="11" s="1"/>
  <c r="G2" i="10" a="1"/>
  <c r="G2" i="10" s="1"/>
  <c r="A16" i="9" a="1"/>
  <c r="A16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<sst xmlns="http://schemas.openxmlformats.org/spreadsheetml/2006/main" count="188" uniqueCount="60">
  <si>
    <t>Tom</t>
  </si>
  <si>
    <t>Total Sales:</t>
  </si>
  <si>
    <t>East</t>
  </si>
  <si>
    <t>North</t>
  </si>
  <si>
    <t>South</t>
  </si>
  <si>
    <t>West</t>
  </si>
  <si>
    <t>Customer Name</t>
  </si>
  <si>
    <t>Service Type</t>
  </si>
  <si>
    <t>Date</t>
  </si>
  <si>
    <t>Fife, Grant</t>
  </si>
  <si>
    <t>Tire Rotation</t>
  </si>
  <si>
    <t>Pruitt, Barbara</t>
  </si>
  <si>
    <t>Oil Change</t>
  </si>
  <si>
    <t>Horn, Frances</t>
  </si>
  <si>
    <t>30k mile service</t>
  </si>
  <si>
    <t>Barret, Alicia</t>
  </si>
  <si>
    <t>Brake Pads</t>
  </si>
  <si>
    <t>Larson, Lynn</t>
  </si>
  <si>
    <t>Snook, Anthony</t>
  </si>
  <si>
    <t>Transmission flush</t>
  </si>
  <si>
    <t>Brown,Charity</t>
  </si>
  <si>
    <t>One-time Only Customers</t>
  </si>
  <si>
    <t>Region</t>
  </si>
  <si>
    <t>Sales Rep</t>
  </si>
  <si>
    <t>Product</t>
  </si>
  <si>
    <t>Units</t>
  </si>
  <si>
    <t>Sorted</t>
  </si>
  <si>
    <t>Apple</t>
  </si>
  <si>
    <t>Fred</t>
  </si>
  <si>
    <t>Grape</t>
  </si>
  <si>
    <t>Amy</t>
  </si>
  <si>
    <t>Pear</t>
  </si>
  <si>
    <t>Sal</t>
  </si>
  <si>
    <t>Banana</t>
  </si>
  <si>
    <t>Fritz</t>
  </si>
  <si>
    <t>Sravan</t>
  </si>
  <si>
    <t xml:space="preserve">Sales Transactions </t>
  </si>
  <si>
    <t xml:space="preserve">North </t>
  </si>
  <si>
    <t>Stravan</t>
  </si>
  <si>
    <t>My Grocery Store Chain</t>
  </si>
  <si>
    <t>Store Name</t>
  </si>
  <si>
    <t>Report_Date</t>
  </si>
  <si>
    <t>Reported_Sales</t>
  </si>
  <si>
    <t>INSTRUCTIONS</t>
  </si>
  <si>
    <t>Kosher Grocer</t>
  </si>
  <si>
    <t>Uptown</t>
  </si>
  <si>
    <t>Insert a pivot table (to a new sheet)</t>
  </si>
  <si>
    <t>Midtown</t>
  </si>
  <si>
    <t>Rename the sheet as Pivot2</t>
  </si>
  <si>
    <t>Downtown</t>
  </si>
  <si>
    <t>Name the table as StoreSales</t>
  </si>
  <si>
    <t>Suburb</t>
  </si>
  <si>
    <t>Apply the accounting number format</t>
  </si>
  <si>
    <t>Answer the following questions</t>
  </si>
  <si>
    <t>Highest grossing store:</t>
  </si>
  <si>
    <t>Highest grossing Region:</t>
  </si>
  <si>
    <t>Total sales for Kosher Grocer and Gourmet Grocer:</t>
  </si>
  <si>
    <t>Rite Grocer</t>
  </si>
  <si>
    <t>Gourmet Grocer</t>
  </si>
  <si>
    <t>Fair Grocer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</si>
</sst>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7" formatCode="&quot;$&quot;#,##0"/>
  </numFmts>
  <fonts count="22" x14ac:knownFonts="1">
    <font>
      <sz val="12"/>
      <color theme="1"/>
      <name val="Courier New"/>
      <family val="2"/>
    </font>
    <font>
      <sz val="18"/>
      <color theme="3"/>
      <name val="Calibri Light"/>
      <family val="2"/>
      <scheme val="maj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4"/>
      <color rgb="FF3F3F3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9">
    <xf numFmtId="0" fontId="0" fillId="0" borderId="0"/>
    <xf numFmtId="0" fontId="1" fillId="0" borderId="0" applyNumberFormat="0" applyFill="0" applyBorder="0" applyAlignment="0" applyProtection="0"/>
    <xf numFmtId="0" fontId="2" fillId="0" borderId="0"/>
    <xf numFmtId="0" fontId="3" fillId="0" borderId="0"/>
    <xf numFmtId="43" fontId="3" fillId="0" borderId="0" applyFont="0" applyFill="0" applyBorder="0" applyAlignment="0" applyProtection="0"/>
    <xf numFmtId="0" fontId="5" fillId="0" borderId="0"/>
    <xf numFmtId="0" fontId="3" fillId="9" borderId="0" applyNumberFormat="0" applyBorder="0" applyAlignment="0" applyProtection="0"/>
    <xf numFmtId="0" fontId="6" fillId="0" borderId="1" applyNumberFormat="0" applyFill="0" applyAlignment="0" applyProtection="0"/>
    <xf numFmtId="0" fontId="3" fillId="8" borderId="0" applyNumberFormat="0" applyBorder="0" applyAlignment="0" applyProtection="0"/>
    <xf numFmtId="0" fontId="3" fillId="7" borderId="0" applyNumberFormat="0" applyBorder="0" applyAlignment="0" applyProtection="0"/>
    <xf numFmtId="0" fontId="6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7" fillId="3" borderId="3" applyNumberFormat="0" applyAlignment="0" applyProtection="0"/>
    <xf numFmtId="0" fontId="3" fillId="6" borderId="0" applyNumberFormat="0" applyBorder="0" applyAlignment="0" applyProtection="0"/>
    <xf numFmtId="0" fontId="5" fillId="0" borderId="0"/>
    <xf numFmtId="0" fontId="3" fillId="10" borderId="0" applyNumberFormat="0" applyBorder="0" applyAlignment="0" applyProtection="0"/>
    <xf numFmtId="44" fontId="5" fillId="0" borderId="0" applyFont="0" applyFill="0" applyBorder="0" applyAlignment="0" applyProtection="0"/>
    <xf numFmtId="0" fontId="3" fillId="5" borderId="0" applyNumberFormat="0" applyBorder="0" applyAlignment="0" applyProtection="0"/>
    <xf numFmtId="0" fontId="8" fillId="4" borderId="0" applyNumberFormat="0" applyBorder="0" applyAlignment="0" applyProtection="0"/>
    <xf numFmtId="0" fontId="10" fillId="2" borderId="2" applyNumberFormat="0" applyAlignment="0" applyProtection="0"/>
    <xf numFmtId="0" fontId="11" fillId="0" borderId="0" applyNumberFormat="0" applyFill="0" applyBorder="0" applyAlignment="0" applyProtection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13" fillId="0" borderId="0"/>
    <xf numFmtId="0" fontId="14" fillId="4" borderId="0" applyNumberFormat="0" applyBorder="0" applyAlignment="0" applyProtection="0"/>
    <xf numFmtId="0" fontId="14" fillId="11" borderId="0" applyNumberFormat="0" applyBorder="0" applyAlignment="0" applyProtection="0"/>
    <xf numFmtId="0" fontId="15" fillId="2" borderId="2" applyNumberFormat="0" applyAlignment="0" applyProtection="0"/>
    <xf numFmtId="0" fontId="16" fillId="3" borderId="3" applyNumberFormat="0" applyAlignment="0" applyProtection="0"/>
    <xf numFmtId="0" fontId="17" fillId="4" borderId="0" applyNumberFormat="0" applyBorder="0" applyAlignment="0" applyProtection="0"/>
  </cellStyleXfs>
  <cellXfs count="29">
    <xf numFmtId="0" fontId="0" fillId="0" borderId="0" xfId="0"/>
    <xf numFmtId="0" fontId="3" fillId="0" borderId="0" xfId="3"/>
    <xf numFmtId="0" fontId="4" fillId="0" borderId="0" xfId="3" applyFont="1"/>
    <xf numFmtId="0" fontId="11" fillId="0" borderId="0" xfId="20"/>
    <xf numFmtId="0" fontId="13" fillId="0" borderId="0" xfId="23"/>
    <xf numFmtId="14" fontId="13" fillId="0" borderId="0" xfId="23" applyNumberFormat="1"/>
    <xf numFmtId="0" fontId="14" fillId="4" borderId="0" xfId="24"/>
    <xf numFmtId="0" fontId="14" fillId="11" borderId="0" xfId="25"/>
    <xf numFmtId="3" fontId="13" fillId="0" borderId="0" xfId="23" applyNumberFormat="1"/>
    <xf numFmtId="0" fontId="1" fillId="0" borderId="0" xfId="1"/>
    <xf numFmtId="0" fontId="6" fillId="0" borderId="0" xfId="22"/>
    <xf numFmtId="0" fontId="15" fillId="2" borderId="2" xfId="26"/>
    <xf numFmtId="0" fontId="9" fillId="12" borderId="4" xfId="23" applyFont="1" applyFill="1" applyBorder="1"/>
    <xf numFmtId="0" fontId="9" fillId="12" borderId="5" xfId="23" applyFont="1" applyFill="1" applyBorder="1"/>
    <xf numFmtId="0" fontId="9" fillId="12" borderId="6" xfId="23" applyFont="1" applyFill="1" applyBorder="1"/>
    <xf numFmtId="0" fontId="14" fillId="4" borderId="0" xfId="28" applyFont="1"/>
    <xf numFmtId="0" fontId="18" fillId="0" borderId="0" xfId="0" applyFont="1"/>
    <xf numFmtId="0" fontId="13" fillId="0" borderId="0" xfId="0" applyFont="1"/>
    <xf numFmtId="14" fontId="13" fillId="0" borderId="0" xfId="0" applyNumberFormat="1" applyFont="1"/>
    <xf numFmtId="167" fontId="20" fillId="3" borderId="3" xfId="27" applyNumberFormat="1" applyFont="1"/>
    <xf numFmtId="0" fontId="12" fillId="0" borderId="0" xfId="0" applyFont="1"/>
    <xf numFmtId="0" fontId="1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21" fillId="3" borderId="3" xfId="27" applyFont="1" applyAlignment="1">
      <alignment horizontal="left"/>
    </xf>
    <xf numFmtId="0" fontId="19" fillId="4" borderId="0" xfId="28" applyFont="1" applyAlignment="1">
      <alignment horizontal="left"/>
    </xf>
    <xf numFmtId="0" fontId="19" fillId="4" borderId="0" xfId="28" applyFont="1" applyAlignment="1">
      <alignment horizontal="center" vertical="center" wrapText="1"/>
    </xf>
    <xf numFmtId="0" fontId="16" fillId="3" borderId="3" xfId="27" applyAlignment="1">
      <alignment horizontal="center"/>
    </xf>
    <xf numFmtId="0" fontId="19" fillId="4" borderId="0" xfId="28" applyFont="1" applyAlignment="1">
      <alignment horizontal="center"/>
    </xf>
    <xf numFmtId="0" fontId="12" fillId="0" borderId="0" xfId="0" applyFont="1" applyAlignment="1">
      <alignment horizontal="left"/>
    </xf>
  </cellXfs>
  <cellStyles count="29">
    <cellStyle name="20% - Accent2 2" xfId="17" xr:uid="{43995203-A883-413A-B3DB-B4C0B1E80CD4}"/>
    <cellStyle name="20% - Accent3 2" xfId="13" xr:uid="{58B073A7-E95D-4E30-8E9C-F0D151E46D1E}"/>
    <cellStyle name="20% - Accent4 2" xfId="8" xr:uid="{2DD3F04E-3A9D-41E0-95EB-0980FE501AC1}"/>
    <cellStyle name="20% - Accent6 2" xfId="15" xr:uid="{E32380E0-F8CF-4EEC-AA3B-F7622BD0C04A}"/>
    <cellStyle name="40% - Accent3 2" xfId="9" xr:uid="{AA2310A4-8E29-40E7-BEEB-5DD4FF5DB509}"/>
    <cellStyle name="40% - Accent5 2" xfId="6" xr:uid="{FEF36B6C-DC24-40F1-97B1-974775BA8E60}"/>
    <cellStyle name="Accent1" xfId="28" builtinId="29"/>
    <cellStyle name="Accent1 2" xfId="18" xr:uid="{5059306A-ACCC-4D53-B60D-D76E9AC45A84}"/>
    <cellStyle name="Accent1 3" xfId="24" xr:uid="{151C389B-24FD-4D67-A014-B9CD94F9F029}"/>
    <cellStyle name="Accent6 2" xfId="25" xr:uid="{412CABBF-BA43-4A96-AF0F-C332D3AA7FC9}"/>
    <cellStyle name="Comma 2" xfId="4" xr:uid="{0F6A3A5A-8FC8-410D-921E-D9A7785419F7}"/>
    <cellStyle name="Currency 2" xfId="11" xr:uid="{648998A3-C6EF-42BD-8A53-2BDEF1AFD9D4}"/>
    <cellStyle name="Currency 2 2" xfId="16" xr:uid="{2FD7DBE2-8F49-4304-8118-9D128F42734A}"/>
    <cellStyle name="Currency 2 2 2" xfId="21" xr:uid="{1CF54961-F867-4064-80CE-7DD9091D4188}"/>
    <cellStyle name="Heading 3 2" xfId="7" xr:uid="{57F07A40-8416-4976-AFD9-A44585828B13}"/>
    <cellStyle name="Heading 4" xfId="22" builtinId="19"/>
    <cellStyle name="Heading 4 2" xfId="10" xr:uid="{9F80445A-C417-432F-A4D5-60F6BCFCE793}"/>
    <cellStyle name="Hyperlink" xfId="20" builtinId="8"/>
    <cellStyle name="Input 2" xfId="19" xr:uid="{5E4FD748-E6FE-4039-986E-0DD920653F81}"/>
    <cellStyle name="Input 3" xfId="26" xr:uid="{21158AE7-E046-4E8A-8073-ABB39E8D5432}"/>
    <cellStyle name="Normal" xfId="0" builtinId="0"/>
    <cellStyle name="Normal 2" xfId="2" xr:uid="{AC87F404-2326-45EB-9AF9-03941A22E771}"/>
    <cellStyle name="Normal 2 2" xfId="5" xr:uid="{44AABCCB-EA19-4107-82F0-304D264E179C}"/>
    <cellStyle name="Normal 3" xfId="3" xr:uid="{8D1B4C21-9C3B-4F4A-A04F-DDDF939B6CBD}"/>
    <cellStyle name="Normal 4" xfId="14" xr:uid="{517FF50D-F3D1-4126-92C1-EE7EDC0BF588}"/>
    <cellStyle name="Normal 5" xfId="23" xr:uid="{DF15918B-C164-43F6-87F8-23F3933C43D4}"/>
    <cellStyle name="Output" xfId="27" builtinId="21"/>
    <cellStyle name="Output 2" xfId="12" xr:uid="{A51BCCE9-C388-4877-8CA1-49898EF39442}"/>
    <cellStyle name="Title" xfId="1" builtinId="15"/>
  </cellStyles>
  <dxfs count="2">
    <dxf>
      <numFmt numFmtId="3" formatCode="#,##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514350</xdr:colOff>
      <xdr:row>1</xdr:row>
      <xdr:rowOff>142875</xdr:rowOff>
    </xdr:from>
    <xdr:to>
      <xdr:col>10</xdr:col>
      <xdr:colOff>504064</xdr:colOff>
      <xdr:row>17</xdr:row>
      <xdr:rowOff>113923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765D39-AF53-486F-8A06-EDE554EC2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0" y="327025"/>
          <a:ext cx="6403214" cy="291744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olumes\LaCie\Excel%25202016%2520Outlines\Excel%2520Day%25203%2520Workfil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earnitanywhere-my.sharepoint.com/Users/Karim/Documents/Book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Karim\AppData\Local\Temp\Temp1_CondFormat01.zip\CondFormat0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lassroom.lan\Share\Users\04-02.CLASSROOM.000\Desktop\Excel%20Power%20User%20Course\Retrieving%20Data%20-%20Comple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se Func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ok1"/>
      <sheetName val="In List"/>
      <sheetName val="LotteryTable"/>
      <sheetName val="LotteryList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Same Cell"/>
      <sheetName val="Same Cell Ref"/>
      <sheetName val="MultiCell"/>
      <sheetName val="Errors"/>
      <sheetName val="MissingText"/>
      <sheetName val="Hide Dups"/>
      <sheetName val="In List"/>
      <sheetName val="Lottery"/>
      <sheetName val="LotteryTable"/>
      <sheetName val="LotteryList"/>
      <sheetName val="Duplicates"/>
      <sheetName val="DupRules"/>
      <sheetName val="DupRows"/>
      <sheetName val="Expiry"/>
      <sheetName val="Expired"/>
      <sheetName val="Temperature"/>
      <sheetName val="Printing"/>
      <sheetName val="2Cond"/>
      <sheetName val="Shade Alt"/>
      <sheetName val="Shade Band"/>
      <sheetName val="Shade Band Flex"/>
      <sheetName val="Shade Filtered"/>
      <sheetName val="Color Shapes"/>
      <sheetName val="ColorIcons"/>
      <sheetName val="ColorIconsNum"/>
      <sheetName val="Strikethrough"/>
      <sheetName val="MyLinks"/>
      <sheetName val="CondFormat0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LOOKUP"/>
      <sheetName val="Products"/>
      <sheetName val="Index Match"/>
      <sheetName val="Payroll"/>
      <sheetName val="Examine Function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C547EFF-35EE-43C6-8348-D8ABEBF7BE58}" name="Table10" displayName="Table10" ref="A1:C12" totalsRowShown="0">
  <autoFilter ref="A1:C12" xr:uid="{8E023BD7-33B7-4865-9079-6EA593829B11}"/>
  <tableColumns count="3">
    <tableColumn id="1" xr3:uid="{BB69F559-CDFA-438D-855B-A2E2E5C9F0B3}" name="Customer Name"/>
    <tableColumn id="2" xr3:uid="{2DEAFC7F-4F34-468F-94EA-9AE1C0A371B0}" name="Service Type"/>
    <tableColumn id="3" xr3:uid="{A46355EB-8F66-4EFA-82FF-416F458C9BD3}" name="Da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48A1FF-CAA2-4659-87FF-DBE006F1E3E0}" name="Table3" displayName="Table3" ref="A3:D8" totalsRowShown="0">
  <autoFilter ref="A3:D8" xr:uid="{95589F3A-54AF-4563-9747-AB40EE94C99B}">
    <filterColumn colId="0" hiddenButton="1"/>
    <filterColumn colId="1" hiddenButton="1"/>
    <filterColumn colId="2" hiddenButton="1"/>
    <filterColumn colId="3" hiddenButton="1"/>
  </autoFilter>
  <tableColumns count="4">
    <tableColumn id="1" xr3:uid="{DADA4770-DBDB-4F70-B953-76529BC26E68}" name="Region"/>
    <tableColumn id="2" xr3:uid="{12F3B2B6-A5D0-4211-83E9-4EE2C74B72BE}" name="Sales Rep"/>
    <tableColumn id="3" xr3:uid="{40A1B26F-295F-402F-82EA-D36266244077}" name="Product"/>
    <tableColumn id="4" xr3:uid="{6030199D-ED90-438C-9F9A-B8CF77E9E716}" name="Units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1364B-494B-4ED5-ACFB-6F3AFE2BD35E}">
  <dimension ref="A1:C18"/>
  <sheetViews>
    <sheetView zoomScale="175" zoomScaleNormal="175" workbookViewId="0">
      <selection activeCell="D12" sqref="D12"/>
    </sheetView>
  </sheetViews>
  <sheetFormatPr defaultColWidth="8.78515625" defaultRowHeight="15.5" x14ac:dyDescent="0.35"/>
  <cols>
    <col min="1" max="1" width="12" style="4" customWidth="1"/>
    <col min="2" max="2" width="9.5" style="4" customWidth="1"/>
    <col min="3" max="3" width="7.5" style="4" bestFit="1" customWidth="1"/>
    <col min="4" max="16384" width="8.78515625" style="4"/>
  </cols>
  <sheetData>
    <row r="1" spans="1:3" x14ac:dyDescent="0.35">
      <c r="A1" s="4" t="s">
        <v>6</v>
      </c>
      <c r="B1" s="4" t="s">
        <v>7</v>
      </c>
      <c r="C1" s="4" t="s">
        <v>8</v>
      </c>
    </row>
    <row r="2" spans="1:3" x14ac:dyDescent="0.35">
      <c r="A2" s="4" t="s">
        <v>9</v>
      </c>
      <c r="B2" s="4" t="s">
        <v>10</v>
      </c>
      <c r="C2" s="5">
        <v>43466</v>
      </c>
    </row>
    <row r="3" spans="1:3" x14ac:dyDescent="0.35">
      <c r="A3" s="4" t="s">
        <v>11</v>
      </c>
      <c r="B3" s="4" t="s">
        <v>12</v>
      </c>
      <c r="C3" s="5">
        <v>43529</v>
      </c>
    </row>
    <row r="4" spans="1:3" x14ac:dyDescent="0.35">
      <c r="A4" s="4" t="s">
        <v>13</v>
      </c>
      <c r="B4" s="4" t="s">
        <v>14</v>
      </c>
      <c r="C4" s="5">
        <v>43532</v>
      </c>
    </row>
    <row r="5" spans="1:3" x14ac:dyDescent="0.35">
      <c r="A5" s="4" t="s">
        <v>15</v>
      </c>
      <c r="B5" s="4" t="s">
        <v>14</v>
      </c>
      <c r="C5" s="5">
        <v>43534</v>
      </c>
    </row>
    <row r="6" spans="1:3" x14ac:dyDescent="0.35">
      <c r="A6" s="4" t="s">
        <v>15</v>
      </c>
      <c r="B6" s="4" t="s">
        <v>16</v>
      </c>
      <c r="C6" s="5">
        <v>43539</v>
      </c>
    </row>
    <row r="7" spans="1:3" x14ac:dyDescent="0.35">
      <c r="A7" s="4" t="s">
        <v>17</v>
      </c>
      <c r="B7" s="4" t="s">
        <v>12</v>
      </c>
      <c r="C7" s="5">
        <v>43568</v>
      </c>
    </row>
    <row r="8" spans="1:3" x14ac:dyDescent="0.35">
      <c r="A8" s="4" t="s">
        <v>11</v>
      </c>
      <c r="B8" s="4" t="s">
        <v>12</v>
      </c>
      <c r="C8" s="5">
        <v>43591</v>
      </c>
    </row>
    <row r="9" spans="1:3" x14ac:dyDescent="0.35">
      <c r="A9" s="4" t="s">
        <v>18</v>
      </c>
      <c r="B9" s="4" t="s">
        <v>12</v>
      </c>
      <c r="C9" s="5">
        <v>43599</v>
      </c>
    </row>
    <row r="10" spans="1:3" x14ac:dyDescent="0.35">
      <c r="A10" s="4" t="s">
        <v>18</v>
      </c>
      <c r="B10" s="4" t="s">
        <v>19</v>
      </c>
      <c r="C10" s="5">
        <v>43610</v>
      </c>
    </row>
    <row r="11" spans="1:3" x14ac:dyDescent="0.35">
      <c r="A11" s="4" t="s">
        <v>13</v>
      </c>
      <c r="B11" s="4" t="s">
        <v>16</v>
      </c>
      <c r="C11" s="5">
        <v>43645</v>
      </c>
    </row>
    <row r="12" spans="1:3" x14ac:dyDescent="0.35">
      <c r="A12" s="4" t="s">
        <v>20</v>
      </c>
      <c r="B12" s="4" t="s">
        <v>10</v>
      </c>
      <c r="C12" s="5">
        <v>43737</v>
      </c>
    </row>
    <row r="15" spans="1:3" x14ac:dyDescent="0.35">
      <c r="A15" s="6" t="s">
        <v>21</v>
      </c>
      <c r="B15" s="6"/>
    </row>
    <row r="16" spans="1:3" x14ac:dyDescent="0.35">
      <c r="A16" s="4" t="str" cm="1">
        <f t="array" ref="A16:A18">_xlfn.UNIQUE(Table10[Customer Name],,TRUE)</f>
        <v>Fife, Grant</v>
      </c>
    </row>
    <row r="17" spans="1:1" x14ac:dyDescent="0.35">
      <c r="A17" s="4" t="str">
        <v>Larson, Lynn</v>
      </c>
    </row>
    <row r="18" spans="1:1" x14ac:dyDescent="0.35">
      <c r="A18" s="4" t="str">
        <v>Brown,Charity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811FE-5F5E-4594-AE00-47AD16932941}">
  <dimension ref="A1:J7"/>
  <sheetViews>
    <sheetView zoomScale="220" zoomScaleNormal="220" workbookViewId="0">
      <selection activeCell="D12" sqref="D12"/>
    </sheetView>
  </sheetViews>
  <sheetFormatPr defaultColWidth="8.78515625" defaultRowHeight="15.5" x14ac:dyDescent="0.35"/>
  <cols>
    <col min="1" max="16384" width="8.78515625" style="4"/>
  </cols>
  <sheetData>
    <row r="1" spans="1:10" x14ac:dyDescent="0.35">
      <c r="A1" s="7" t="s">
        <v>22</v>
      </c>
      <c r="B1" s="7" t="s">
        <v>23</v>
      </c>
      <c r="C1" s="7" t="s">
        <v>24</v>
      </c>
      <c r="D1" s="7" t="s">
        <v>25</v>
      </c>
      <c r="G1" s="7" t="s">
        <v>26</v>
      </c>
    </row>
    <row r="2" spans="1:10" x14ac:dyDescent="0.35">
      <c r="A2" s="4" t="s">
        <v>2</v>
      </c>
      <c r="B2" s="4" t="s">
        <v>0</v>
      </c>
      <c r="C2" s="4" t="s">
        <v>27</v>
      </c>
      <c r="D2" s="8">
        <v>6380</v>
      </c>
      <c r="G2" s="4" t="str" cm="1">
        <f t="array" ref="G2:J7">_xlfn._xlws.SORT(A2:D7,4,1)</f>
        <v>East</v>
      </c>
      <c r="H2" s="4" t="str">
        <v>Fritz</v>
      </c>
      <c r="I2" s="4" t="str">
        <v>Apple</v>
      </c>
      <c r="J2" s="4">
        <v>4394</v>
      </c>
    </row>
    <row r="3" spans="1:10" x14ac:dyDescent="0.35">
      <c r="A3" s="4" t="s">
        <v>5</v>
      </c>
      <c r="B3" s="4" t="s">
        <v>28</v>
      </c>
      <c r="C3" s="4" t="s">
        <v>29</v>
      </c>
      <c r="D3" s="8">
        <v>5619</v>
      </c>
      <c r="G3" s="4" t="str">
        <v>North</v>
      </c>
      <c r="H3" s="4" t="str">
        <v>Amy</v>
      </c>
      <c r="I3" s="4" t="str">
        <v>Pear</v>
      </c>
      <c r="J3" s="4">
        <v>4565</v>
      </c>
    </row>
    <row r="4" spans="1:10" x14ac:dyDescent="0.35">
      <c r="A4" s="4" t="s">
        <v>3</v>
      </c>
      <c r="B4" s="4" t="s">
        <v>30</v>
      </c>
      <c r="C4" s="4" t="s">
        <v>31</v>
      </c>
      <c r="D4" s="8">
        <v>4565</v>
      </c>
      <c r="G4" s="4" t="str">
        <v>South</v>
      </c>
      <c r="H4" s="4" t="str">
        <v>Sal</v>
      </c>
      <c r="I4" s="4" t="str">
        <v>Banana</v>
      </c>
      <c r="J4" s="4">
        <v>5323</v>
      </c>
    </row>
    <row r="5" spans="1:10" x14ac:dyDescent="0.35">
      <c r="A5" s="4" t="s">
        <v>4</v>
      </c>
      <c r="B5" s="4" t="s">
        <v>32</v>
      </c>
      <c r="C5" s="4" t="s">
        <v>33</v>
      </c>
      <c r="D5" s="8">
        <v>5323</v>
      </c>
      <c r="G5" s="4" t="str">
        <v>West</v>
      </c>
      <c r="H5" s="4" t="str">
        <v>Fred</v>
      </c>
      <c r="I5" s="4" t="str">
        <v>Grape</v>
      </c>
      <c r="J5" s="4">
        <v>5619</v>
      </c>
    </row>
    <row r="6" spans="1:10" x14ac:dyDescent="0.35">
      <c r="A6" s="4" t="s">
        <v>2</v>
      </c>
      <c r="B6" s="4" t="s">
        <v>34</v>
      </c>
      <c r="C6" s="4" t="s">
        <v>27</v>
      </c>
      <c r="D6" s="8">
        <v>4394</v>
      </c>
      <c r="G6" s="4" t="str">
        <v>East</v>
      </c>
      <c r="H6" s="4" t="str">
        <v>Tom</v>
      </c>
      <c r="I6" s="4" t="str">
        <v>Apple</v>
      </c>
      <c r="J6" s="4">
        <v>6380</v>
      </c>
    </row>
    <row r="7" spans="1:10" x14ac:dyDescent="0.35">
      <c r="A7" s="4" t="s">
        <v>5</v>
      </c>
      <c r="B7" s="4" t="s">
        <v>35</v>
      </c>
      <c r="C7" s="4" t="s">
        <v>29</v>
      </c>
      <c r="D7" s="8">
        <v>7195</v>
      </c>
      <c r="G7" s="4" t="str">
        <v>West</v>
      </c>
      <c r="H7" s="4" t="str">
        <v>Sravan</v>
      </c>
      <c r="I7" s="4" t="str">
        <v>Grape</v>
      </c>
      <c r="J7" s="4">
        <v>7195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CE11F-87CE-42C9-AD65-F37C8A301E17}">
  <dimension ref="A1:I8"/>
  <sheetViews>
    <sheetView zoomScale="175" zoomScaleNormal="175" workbookViewId="0">
      <selection activeCell="D12" sqref="D12"/>
    </sheetView>
  </sheetViews>
  <sheetFormatPr defaultColWidth="8.78515625" defaultRowHeight="15.5" x14ac:dyDescent="0.35"/>
  <cols>
    <col min="1" max="1" width="8.78515625" style="4"/>
    <col min="2" max="2" width="7.42578125" style="4" customWidth="1"/>
    <col min="3" max="16384" width="8.78515625" style="4"/>
  </cols>
  <sheetData>
    <row r="1" spans="1:9" ht="23.5" x14ac:dyDescent="0.55000000000000004">
      <c r="A1" s="9" t="s">
        <v>36</v>
      </c>
      <c r="F1" s="10" t="s">
        <v>24</v>
      </c>
      <c r="G1" s="11" t="s">
        <v>31</v>
      </c>
    </row>
    <row r="2" spans="1:9" x14ac:dyDescent="0.35">
      <c r="F2" s="10" t="s">
        <v>22</v>
      </c>
      <c r="G2" s="11" t="s">
        <v>4</v>
      </c>
    </row>
    <row r="3" spans="1:9" x14ac:dyDescent="0.35">
      <c r="A3" s="4" t="s">
        <v>22</v>
      </c>
      <c r="B3" s="4" t="s">
        <v>23</v>
      </c>
      <c r="C3" s="4" t="s">
        <v>24</v>
      </c>
      <c r="D3" s="4" t="s">
        <v>25</v>
      </c>
      <c r="F3" s="12" t="s">
        <v>22</v>
      </c>
      <c r="G3" s="13" t="s">
        <v>23</v>
      </c>
      <c r="H3" s="13" t="s">
        <v>24</v>
      </c>
      <c r="I3" s="14" t="s">
        <v>25</v>
      </c>
    </row>
    <row r="4" spans="1:9" x14ac:dyDescent="0.35">
      <c r="A4" s="4" t="s">
        <v>2</v>
      </c>
      <c r="B4" s="4" t="s">
        <v>28</v>
      </c>
      <c r="C4" s="4" t="s">
        <v>27</v>
      </c>
      <c r="D4" s="8">
        <v>6380</v>
      </c>
      <c r="F4" s="4" t="str" cm="1">
        <f t="array" ref="F4:I4">_xlfn._xlws.FILTER(Table3[],Table3[Product]=G1)</f>
        <v xml:space="preserve">North </v>
      </c>
      <c r="G4" s="4" t="str">
        <v>Sal</v>
      </c>
      <c r="H4" s="4" t="str">
        <v>Pear</v>
      </c>
      <c r="I4" s="4">
        <v>5323</v>
      </c>
    </row>
    <row r="5" spans="1:9" x14ac:dyDescent="0.35">
      <c r="A5" s="4" t="s">
        <v>5</v>
      </c>
      <c r="B5" s="4" t="s">
        <v>30</v>
      </c>
      <c r="C5" s="4" t="s">
        <v>33</v>
      </c>
      <c r="D5" s="8">
        <v>5619</v>
      </c>
    </row>
    <row r="6" spans="1:9" x14ac:dyDescent="0.35">
      <c r="A6" s="4" t="s">
        <v>37</v>
      </c>
      <c r="B6" s="4" t="s">
        <v>32</v>
      </c>
      <c r="C6" s="4" t="s">
        <v>31</v>
      </c>
      <c r="D6" s="8">
        <v>5323</v>
      </c>
    </row>
    <row r="7" spans="1:9" x14ac:dyDescent="0.35">
      <c r="A7" s="4" t="s">
        <v>4</v>
      </c>
      <c r="B7" s="4" t="s">
        <v>34</v>
      </c>
      <c r="C7" s="4" t="s">
        <v>33</v>
      </c>
      <c r="D7" s="8">
        <v>1195</v>
      </c>
    </row>
    <row r="8" spans="1:9" x14ac:dyDescent="0.35">
      <c r="A8" s="4" t="s">
        <v>2</v>
      </c>
      <c r="B8" s="4" t="s">
        <v>38</v>
      </c>
      <c r="C8" s="4" t="s">
        <v>33</v>
      </c>
      <c r="D8" s="8">
        <v>2437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258F7-23DD-4D32-8661-2A31B20C9A88}">
  <sheetPr>
    <tabColor theme="0"/>
  </sheetPr>
  <dimension ref="B19:C20"/>
  <sheetViews>
    <sheetView showGridLines="0" workbookViewId="0">
      <selection activeCell="I26" sqref="I26"/>
    </sheetView>
  </sheetViews>
  <sheetFormatPr defaultColWidth="7.2109375" defaultRowHeight="14.5" x14ac:dyDescent="0.35"/>
  <cols>
    <col min="1" max="16384" width="7.2109375" style="1"/>
  </cols>
  <sheetData>
    <row r="19" spans="2:3" x14ac:dyDescent="0.35">
      <c r="B19" s="2"/>
    </row>
    <row r="20" spans="2:3" x14ac:dyDescent="0.35">
      <c r="B20" s="2"/>
      <c r="C20" s="3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BE20A-38B6-4126-963F-0F41956830BB}">
  <dimension ref="A1:M51"/>
  <sheetViews>
    <sheetView tabSelected="1" workbookViewId="0">
      <selection activeCell="I10" sqref="I10"/>
    </sheetView>
  </sheetViews>
  <sheetFormatPr defaultRowHeight="16" x14ac:dyDescent="0.4"/>
  <cols>
    <col min="1" max="1" width="10.2109375" customWidth="1"/>
    <col min="2" max="2" width="6.7109375" bestFit="1" customWidth="1"/>
    <col min="3" max="3" width="8.42578125" bestFit="1" customWidth="1"/>
    <col min="4" max="4" width="10" bestFit="1" customWidth="1"/>
    <col min="13" max="13" width="9.2109375" customWidth="1"/>
  </cols>
  <sheetData>
    <row r="1" spans="1:13" ht="23.5" x14ac:dyDescent="0.55000000000000004">
      <c r="A1" s="9" t="s">
        <v>39</v>
      </c>
    </row>
    <row r="3" spans="1:13" ht="18.5" x14ac:dyDescent="0.45">
      <c r="A3" s="15" t="s">
        <v>40</v>
      </c>
      <c r="B3" s="15" t="s">
        <v>22</v>
      </c>
      <c r="C3" s="15" t="s">
        <v>41</v>
      </c>
      <c r="D3" s="15" t="s">
        <v>42</v>
      </c>
      <c r="I3" s="16"/>
      <c r="J3" s="27" t="s">
        <v>43</v>
      </c>
      <c r="K3" s="27"/>
      <c r="L3" s="27"/>
      <c r="M3" s="27"/>
    </row>
    <row r="4" spans="1:13" ht="18.5" x14ac:dyDescent="0.45">
      <c r="A4" s="17" t="s">
        <v>44</v>
      </c>
      <c r="B4" s="17" t="s">
        <v>45</v>
      </c>
      <c r="C4" s="18">
        <v>44286</v>
      </c>
      <c r="D4" s="19">
        <v>1242677</v>
      </c>
      <c r="I4" s="20">
        <v>1</v>
      </c>
      <c r="J4" s="28" t="s">
        <v>46</v>
      </c>
      <c r="K4" s="28"/>
      <c r="L4" s="28"/>
      <c r="M4" s="28"/>
    </row>
    <row r="5" spans="1:13" ht="18.5" x14ac:dyDescent="0.45">
      <c r="A5" s="17" t="s">
        <v>44</v>
      </c>
      <c r="B5" s="17" t="s">
        <v>47</v>
      </c>
      <c r="C5" s="18">
        <v>44286</v>
      </c>
      <c r="D5" s="19">
        <v>921439</v>
      </c>
      <c r="I5" s="20">
        <v>2</v>
      </c>
      <c r="J5" s="21" t="s">
        <v>48</v>
      </c>
      <c r="K5" s="21"/>
      <c r="L5" s="21"/>
      <c r="M5" s="21"/>
    </row>
    <row r="6" spans="1:13" ht="18.5" x14ac:dyDescent="0.45">
      <c r="A6" s="17" t="s">
        <v>44</v>
      </c>
      <c r="B6" s="17" t="s">
        <v>49</v>
      </c>
      <c r="C6" s="18">
        <v>44286</v>
      </c>
      <c r="D6" s="19">
        <v>1349854</v>
      </c>
      <c r="I6" s="20">
        <v>3</v>
      </c>
      <c r="J6" s="28" t="s">
        <v>50</v>
      </c>
      <c r="K6" s="28"/>
      <c r="L6" s="28"/>
      <c r="M6" s="28"/>
    </row>
    <row r="7" spans="1:13" ht="18.5" x14ac:dyDescent="0.45">
      <c r="A7" s="17" t="s">
        <v>44</v>
      </c>
      <c r="B7" s="17" t="s">
        <v>51</v>
      </c>
      <c r="C7" s="18">
        <v>44286</v>
      </c>
      <c r="D7" s="19">
        <v>1104078</v>
      </c>
      <c r="I7" s="20">
        <v>4</v>
      </c>
      <c r="J7" s="28" t="s">
        <v>52</v>
      </c>
      <c r="K7" s="28"/>
      <c r="L7" s="28"/>
      <c r="M7" s="28"/>
    </row>
    <row r="8" spans="1:13" ht="18.5" x14ac:dyDescent="0.45">
      <c r="A8" s="17" t="s">
        <v>44</v>
      </c>
      <c r="B8" s="17" t="s">
        <v>45</v>
      </c>
      <c r="C8" s="18">
        <v>44377</v>
      </c>
      <c r="D8" s="19">
        <v>856808</v>
      </c>
      <c r="I8" s="20">
        <v>5</v>
      </c>
      <c r="J8" s="28" t="s">
        <v>53</v>
      </c>
      <c r="K8" s="28"/>
      <c r="L8" s="28"/>
      <c r="M8" s="28"/>
    </row>
    <row r="9" spans="1:13" ht="18.5" x14ac:dyDescent="0.45">
      <c r="A9" s="17" t="s">
        <v>44</v>
      </c>
      <c r="B9" s="17" t="s">
        <v>47</v>
      </c>
      <c r="C9" s="18">
        <v>44377</v>
      </c>
      <c r="D9" s="19">
        <v>1449931</v>
      </c>
      <c r="I9" s="16"/>
      <c r="J9" s="22"/>
      <c r="K9" s="22"/>
      <c r="L9" s="22"/>
      <c r="M9" s="22"/>
    </row>
    <row r="10" spans="1:13" ht="18.5" x14ac:dyDescent="0.45">
      <c r="A10" s="17" t="s">
        <v>44</v>
      </c>
      <c r="B10" s="17" t="s">
        <v>49</v>
      </c>
      <c r="C10" s="18">
        <v>44377</v>
      </c>
      <c r="D10" s="19">
        <v>906792</v>
      </c>
      <c r="I10" s="16"/>
      <c r="J10" s="24" t="s">
        <v>1</v>
      </c>
      <c r="K10" s="24"/>
      <c r="L10" s="24"/>
      <c r="M10" s="23"/>
    </row>
    <row r="11" spans="1:13" ht="18.5" x14ac:dyDescent="0.45">
      <c r="A11" s="17" t="s">
        <v>44</v>
      </c>
      <c r="B11" s="17" t="s">
        <v>51</v>
      </c>
      <c r="C11" s="18">
        <v>44377</v>
      </c>
      <c r="D11" s="19">
        <v>945886</v>
      </c>
      <c r="I11" s="16"/>
      <c r="J11" s="24" t="s">
        <v>54</v>
      </c>
      <c r="K11" s="24"/>
      <c r="L11" s="24"/>
      <c r="M11" s="23"/>
    </row>
    <row r="12" spans="1:13" ht="18.5" x14ac:dyDescent="0.45">
      <c r="A12" s="17" t="s">
        <v>44</v>
      </c>
      <c r="B12" s="17" t="s">
        <v>45</v>
      </c>
      <c r="C12" s="18">
        <v>44469</v>
      </c>
      <c r="D12" s="19">
        <v>1309137</v>
      </c>
      <c r="I12" s="16"/>
      <c r="J12" s="24" t="s">
        <v>55</v>
      </c>
      <c r="K12" s="24"/>
      <c r="L12" s="24"/>
      <c r="M12" s="23"/>
    </row>
    <row r="13" spans="1:13" ht="18.75" customHeight="1" x14ac:dyDescent="0.45">
      <c r="A13" s="17" t="s">
        <v>44</v>
      </c>
      <c r="B13" s="17" t="s">
        <v>47</v>
      </c>
      <c r="C13" s="18">
        <v>44469</v>
      </c>
      <c r="D13" s="19">
        <v>1216894</v>
      </c>
      <c r="I13" s="16"/>
      <c r="J13" s="25" t="s">
        <v>56</v>
      </c>
      <c r="K13" s="25"/>
      <c r="L13" s="25"/>
      <c r="M13" s="26"/>
    </row>
    <row r="14" spans="1:13" ht="18.75" customHeight="1" x14ac:dyDescent="0.45">
      <c r="A14" s="17" t="s">
        <v>44</v>
      </c>
      <c r="B14" s="17" t="s">
        <v>49</v>
      </c>
      <c r="C14" s="18">
        <v>44469</v>
      </c>
      <c r="D14" s="19">
        <v>1331072</v>
      </c>
      <c r="I14" s="16"/>
      <c r="J14" s="25"/>
      <c r="K14" s="25"/>
      <c r="L14" s="25"/>
      <c r="M14" s="26"/>
    </row>
    <row r="15" spans="1:13" ht="18.5" x14ac:dyDescent="0.45">
      <c r="A15" s="17" t="s">
        <v>44</v>
      </c>
      <c r="B15" s="17" t="s">
        <v>51</v>
      </c>
      <c r="C15" s="18">
        <v>44469</v>
      </c>
      <c r="D15" s="19">
        <v>1431195</v>
      </c>
      <c r="I15" s="16"/>
      <c r="J15" s="25"/>
      <c r="K15" s="25"/>
      <c r="L15" s="25"/>
      <c r="M15" s="26"/>
    </row>
    <row r="16" spans="1:13" x14ac:dyDescent="0.4">
      <c r="A16" s="17" t="s">
        <v>57</v>
      </c>
      <c r="B16" s="17" t="s">
        <v>45</v>
      </c>
      <c r="C16" s="18">
        <v>44286</v>
      </c>
      <c r="D16" s="19">
        <v>907526</v>
      </c>
      <c r="J16" s="25"/>
      <c r="K16" s="25"/>
      <c r="L16" s="25"/>
      <c r="M16" s="26"/>
    </row>
    <row r="17" spans="1:13" x14ac:dyDescent="0.4">
      <c r="A17" s="17" t="s">
        <v>57</v>
      </c>
      <c r="B17" s="17" t="s">
        <v>47</v>
      </c>
      <c r="C17" s="18">
        <v>44286</v>
      </c>
      <c r="D17" s="19">
        <v>1191364</v>
      </c>
      <c r="J17" s="25"/>
      <c r="K17" s="25"/>
      <c r="L17" s="25"/>
      <c r="M17" s="26"/>
    </row>
    <row r="18" spans="1:13" x14ac:dyDescent="0.4">
      <c r="A18" s="17" t="s">
        <v>57</v>
      </c>
      <c r="B18" s="17" t="s">
        <v>49</v>
      </c>
      <c r="C18" s="18">
        <v>44286</v>
      </c>
      <c r="D18" s="19">
        <v>1227391</v>
      </c>
    </row>
    <row r="19" spans="1:13" x14ac:dyDescent="0.4">
      <c r="A19" s="17" t="s">
        <v>57</v>
      </c>
      <c r="B19" s="17" t="s">
        <v>51</v>
      </c>
      <c r="C19" s="18">
        <v>44286</v>
      </c>
      <c r="D19" s="19">
        <v>1332342</v>
      </c>
    </row>
    <row r="20" spans="1:13" x14ac:dyDescent="0.4">
      <c r="A20" s="17" t="s">
        <v>57</v>
      </c>
      <c r="B20" s="17" t="s">
        <v>45</v>
      </c>
      <c r="C20" s="18">
        <v>44377</v>
      </c>
      <c r="D20" s="19">
        <v>1269010</v>
      </c>
    </row>
    <row r="21" spans="1:13" x14ac:dyDescent="0.4">
      <c r="A21" s="17" t="s">
        <v>57</v>
      </c>
      <c r="B21" s="17" t="s">
        <v>47</v>
      </c>
      <c r="C21" s="18">
        <v>44377</v>
      </c>
      <c r="D21" s="19">
        <v>994590</v>
      </c>
    </row>
    <row r="22" spans="1:13" x14ac:dyDescent="0.4">
      <c r="A22" s="17" t="s">
        <v>57</v>
      </c>
      <c r="B22" s="17" t="s">
        <v>49</v>
      </c>
      <c r="C22" s="18">
        <v>44377</v>
      </c>
      <c r="D22" s="19">
        <v>894997</v>
      </c>
    </row>
    <row r="23" spans="1:13" x14ac:dyDescent="0.4">
      <c r="A23" s="17" t="s">
        <v>57</v>
      </c>
      <c r="B23" s="17" t="s">
        <v>51</v>
      </c>
      <c r="C23" s="18">
        <v>44377</v>
      </c>
      <c r="D23" s="19">
        <v>904338</v>
      </c>
    </row>
    <row r="24" spans="1:13" x14ac:dyDescent="0.4">
      <c r="A24" s="17" t="s">
        <v>57</v>
      </c>
      <c r="B24" s="17" t="s">
        <v>45</v>
      </c>
      <c r="C24" s="18">
        <v>44469</v>
      </c>
      <c r="D24" s="19">
        <v>962731</v>
      </c>
    </row>
    <row r="25" spans="1:13" x14ac:dyDescent="0.4">
      <c r="A25" s="17" t="s">
        <v>57</v>
      </c>
      <c r="B25" s="17" t="s">
        <v>47</v>
      </c>
      <c r="C25" s="18">
        <v>44469</v>
      </c>
      <c r="D25" s="19">
        <v>953786</v>
      </c>
    </row>
    <row r="26" spans="1:13" x14ac:dyDescent="0.4">
      <c r="A26" s="17" t="s">
        <v>57</v>
      </c>
      <c r="B26" s="17" t="s">
        <v>49</v>
      </c>
      <c r="C26" s="18">
        <v>44469</v>
      </c>
      <c r="D26" s="19">
        <v>1419314</v>
      </c>
    </row>
    <row r="27" spans="1:13" x14ac:dyDescent="0.4">
      <c r="A27" s="17" t="s">
        <v>57</v>
      </c>
      <c r="B27" s="17" t="s">
        <v>51</v>
      </c>
      <c r="C27" s="18">
        <v>44469</v>
      </c>
      <c r="D27" s="19">
        <v>1436093</v>
      </c>
    </row>
    <row r="28" spans="1:13" x14ac:dyDescent="0.4">
      <c r="A28" s="17" t="s">
        <v>58</v>
      </c>
      <c r="B28" s="17" t="s">
        <v>45</v>
      </c>
      <c r="C28" s="18">
        <v>44286</v>
      </c>
      <c r="D28" s="19">
        <v>1068137</v>
      </c>
    </row>
    <row r="29" spans="1:13" x14ac:dyDescent="0.4">
      <c r="A29" s="17" t="s">
        <v>58</v>
      </c>
      <c r="B29" s="17" t="s">
        <v>47</v>
      </c>
      <c r="C29" s="18">
        <v>44286</v>
      </c>
      <c r="D29" s="19">
        <v>1250695</v>
      </c>
    </row>
    <row r="30" spans="1:13" x14ac:dyDescent="0.4">
      <c r="A30" s="17" t="s">
        <v>58</v>
      </c>
      <c r="B30" s="17" t="s">
        <v>49</v>
      </c>
      <c r="C30" s="18">
        <v>44286</v>
      </c>
      <c r="D30" s="19">
        <v>898949</v>
      </c>
    </row>
    <row r="31" spans="1:13" x14ac:dyDescent="0.4">
      <c r="A31" s="17" t="s">
        <v>58</v>
      </c>
      <c r="B31" s="17" t="s">
        <v>51</v>
      </c>
      <c r="C31" s="18">
        <v>44286</v>
      </c>
      <c r="D31" s="19">
        <v>1213455</v>
      </c>
    </row>
    <row r="32" spans="1:13" x14ac:dyDescent="0.4">
      <c r="A32" s="17" t="s">
        <v>58</v>
      </c>
      <c r="B32" s="17" t="s">
        <v>45</v>
      </c>
      <c r="C32" s="18">
        <v>44377</v>
      </c>
      <c r="D32" s="19">
        <v>1164510</v>
      </c>
    </row>
    <row r="33" spans="1:4" x14ac:dyDescent="0.4">
      <c r="A33" s="17" t="s">
        <v>58</v>
      </c>
      <c r="B33" s="17" t="s">
        <v>47</v>
      </c>
      <c r="C33" s="18">
        <v>44377</v>
      </c>
      <c r="D33" s="19">
        <v>1163870</v>
      </c>
    </row>
    <row r="34" spans="1:4" x14ac:dyDescent="0.4">
      <c r="A34" s="17" t="s">
        <v>58</v>
      </c>
      <c r="B34" s="17" t="s">
        <v>49</v>
      </c>
      <c r="C34" s="18">
        <v>44377</v>
      </c>
      <c r="D34" s="19">
        <v>906880</v>
      </c>
    </row>
    <row r="35" spans="1:4" x14ac:dyDescent="0.4">
      <c r="A35" s="17" t="s">
        <v>58</v>
      </c>
      <c r="B35" s="17" t="s">
        <v>51</v>
      </c>
      <c r="C35" s="18">
        <v>44377</v>
      </c>
      <c r="D35" s="19">
        <v>894539</v>
      </c>
    </row>
    <row r="36" spans="1:4" x14ac:dyDescent="0.4">
      <c r="A36" s="17" t="s">
        <v>58</v>
      </c>
      <c r="B36" s="17" t="s">
        <v>45</v>
      </c>
      <c r="C36" s="18">
        <v>44469</v>
      </c>
      <c r="D36" s="19">
        <v>913945</v>
      </c>
    </row>
    <row r="37" spans="1:4" x14ac:dyDescent="0.4">
      <c r="A37" s="17" t="s">
        <v>58</v>
      </c>
      <c r="B37" s="17" t="s">
        <v>47</v>
      </c>
      <c r="C37" s="18">
        <v>44469</v>
      </c>
      <c r="D37" s="19">
        <v>1440870</v>
      </c>
    </row>
    <row r="38" spans="1:4" x14ac:dyDescent="0.4">
      <c r="A38" s="17" t="s">
        <v>58</v>
      </c>
      <c r="B38" s="17" t="s">
        <v>49</v>
      </c>
      <c r="C38" s="18">
        <v>44469</v>
      </c>
      <c r="D38" s="19">
        <v>1280710</v>
      </c>
    </row>
    <row r="39" spans="1:4" x14ac:dyDescent="0.4">
      <c r="A39" s="17" t="s">
        <v>58</v>
      </c>
      <c r="B39" s="17" t="s">
        <v>51</v>
      </c>
      <c r="C39" s="18">
        <v>44469</v>
      </c>
      <c r="D39" s="19">
        <v>1023357</v>
      </c>
    </row>
    <row r="40" spans="1:4" x14ac:dyDescent="0.4">
      <c r="A40" s="17" t="s">
        <v>59</v>
      </c>
      <c r="B40" s="17" t="s">
        <v>45</v>
      </c>
      <c r="C40" s="18">
        <v>44286</v>
      </c>
      <c r="D40" s="19">
        <v>1499269</v>
      </c>
    </row>
    <row r="41" spans="1:4" x14ac:dyDescent="0.4">
      <c r="A41" s="17" t="s">
        <v>59</v>
      </c>
      <c r="B41" s="17" t="s">
        <v>47</v>
      </c>
      <c r="C41" s="18">
        <v>44286</v>
      </c>
      <c r="D41" s="19">
        <v>970517</v>
      </c>
    </row>
    <row r="42" spans="1:4" x14ac:dyDescent="0.4">
      <c r="A42" s="17" t="s">
        <v>59</v>
      </c>
      <c r="B42" s="17" t="s">
        <v>49</v>
      </c>
      <c r="C42" s="18">
        <v>44286</v>
      </c>
      <c r="D42" s="19">
        <v>1141777</v>
      </c>
    </row>
    <row r="43" spans="1:4" x14ac:dyDescent="0.4">
      <c r="A43" s="17" t="s">
        <v>59</v>
      </c>
      <c r="B43" s="17" t="s">
        <v>51</v>
      </c>
      <c r="C43" s="18">
        <v>44286</v>
      </c>
      <c r="D43" s="19">
        <v>856208</v>
      </c>
    </row>
    <row r="44" spans="1:4" x14ac:dyDescent="0.4">
      <c r="A44" s="17" t="s">
        <v>59</v>
      </c>
      <c r="B44" s="17" t="s">
        <v>45</v>
      </c>
      <c r="C44" s="18">
        <v>44377</v>
      </c>
      <c r="D44" s="19">
        <v>1064145</v>
      </c>
    </row>
    <row r="45" spans="1:4" x14ac:dyDescent="0.4">
      <c r="A45" s="17" t="s">
        <v>59</v>
      </c>
      <c r="B45" s="17" t="s">
        <v>47</v>
      </c>
      <c r="C45" s="18">
        <v>44377</v>
      </c>
      <c r="D45" s="19">
        <v>955424</v>
      </c>
    </row>
    <row r="46" spans="1:4" x14ac:dyDescent="0.4">
      <c r="A46" s="17" t="s">
        <v>59</v>
      </c>
      <c r="B46" s="17" t="s">
        <v>49</v>
      </c>
      <c r="C46" s="18">
        <v>44377</v>
      </c>
      <c r="D46" s="19">
        <v>903006</v>
      </c>
    </row>
    <row r="47" spans="1:4" x14ac:dyDescent="0.4">
      <c r="A47" s="17" t="s">
        <v>59</v>
      </c>
      <c r="B47" s="17" t="s">
        <v>51</v>
      </c>
      <c r="C47" s="18">
        <v>44377</v>
      </c>
      <c r="D47" s="19">
        <v>1420494</v>
      </c>
    </row>
    <row r="48" spans="1:4" x14ac:dyDescent="0.4">
      <c r="A48" s="17" t="s">
        <v>59</v>
      </c>
      <c r="B48" s="17" t="s">
        <v>45</v>
      </c>
      <c r="C48" s="18">
        <v>44469</v>
      </c>
      <c r="D48" s="19">
        <v>1267870</v>
      </c>
    </row>
    <row r="49" spans="1:4" x14ac:dyDescent="0.4">
      <c r="A49" s="17" t="s">
        <v>59</v>
      </c>
      <c r="B49" s="17" t="s">
        <v>47</v>
      </c>
      <c r="C49" s="18">
        <v>44469</v>
      </c>
      <c r="D49" s="19">
        <v>1013266</v>
      </c>
    </row>
    <row r="50" spans="1:4" x14ac:dyDescent="0.4">
      <c r="A50" s="17" t="s">
        <v>59</v>
      </c>
      <c r="B50" s="17" t="s">
        <v>49</v>
      </c>
      <c r="C50" s="18">
        <v>44469</v>
      </c>
      <c r="D50" s="19">
        <v>1416121</v>
      </c>
    </row>
    <row r="51" spans="1:4" x14ac:dyDescent="0.4">
      <c r="A51" s="17" t="s">
        <v>59</v>
      </c>
      <c r="B51" s="17" t="s">
        <v>51</v>
      </c>
      <c r="C51" s="18">
        <v>44469</v>
      </c>
      <c r="D51" s="19">
        <v>1261584</v>
      </c>
    </row>
  </sheetData>
  <mergeCells count="10">
    <mergeCell ref="J11:L11"/>
    <mergeCell ref="J12:L12"/>
    <mergeCell ref="J13:L17"/>
    <mergeCell ref="M13:M17"/>
    <mergeCell ref="J3:M3"/>
    <mergeCell ref="J4:M4"/>
    <mergeCell ref="J6:M6"/>
    <mergeCell ref="J7:M7"/>
    <mergeCell ref="J8:M8"/>
    <mergeCell ref="J10:L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9FF9DF5BCFFD42A0D5617B9D18FB89" ma:contentTypeVersion="4" ma:contentTypeDescription="Create a new document." ma:contentTypeScope="" ma:versionID="2841934f81bc4cfb900570f79c0532cd">
  <xsd:schema xmlns:xsd="http://www.w3.org/2001/XMLSchema" xmlns:xs="http://www.w3.org/2001/XMLSchema" xmlns:p="http://schemas.microsoft.com/office/2006/metadata/properties" xmlns:ns2="84d60d80-5f5b-4137-9f7f-aa35e391db8c" targetNamespace="http://schemas.microsoft.com/office/2006/metadata/properties" ma:root="true" ma:fieldsID="3a3ea369e37df7e9f5c63e773dc1f009" ns2:_="">
    <xsd:import namespace="84d60d80-5f5b-4137-9f7f-aa35e391db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d60d80-5f5b-4137-9f7f-aa35e391db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852C49F-E698-4713-96B0-4D2413E9132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9C79389-DA5A-450D-A9C7-83EECC9CAC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d60d80-5f5b-4137-9f7f-aa35e391db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72FE5B-C55C-4229-B71A-733BF9A518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Unique</vt:lpstr>
      <vt:lpstr>SORT FUNCTION</vt:lpstr>
      <vt:lpstr>FILTER FUNCTION</vt:lpstr>
      <vt:lpstr>Pivot Table Diagram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Karim Faz</dc:creator>
  <cp:keywords/>
  <dc:description/>
  <cp:lastModifiedBy>HomePC</cp:lastModifiedBy>
  <cp:revision/>
  <dcterms:created xsi:type="dcterms:W3CDTF">2019-02-03T23:14:41Z</dcterms:created>
  <dcterms:modified xsi:type="dcterms:W3CDTF">2026-05-22T04:06:55Z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0x0101008D9FF9DF5BCFFD42A0D5617B9D18FB89</vt:lpwstr>
  </property>
</Properties>
</file>