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updateLinks="never" hidePivotFieldList="1" defaultThemeVersion="166925"/>
  <mc:AlternateContent xmlns:mc="http://schemas.openxmlformats.org/markup-compatibility/2006">
    <mc:Choice Requires="x15">
      <x15ac:absPath xmlns:x15ac="http://schemas.microsoft.com/office/spreadsheetml/2010/11/ac" url="C:\Users\HomePC\Desktop\EXCEL\portfollio\Dashboard\"/>
    </mc:Choice>
  </mc:AlternateContent>
  <xr:revisionPtr revIDLastSave="0" documentId="13_ncr:1_{B6BC645B-D31D-4761-8ECB-79812469191E}" xr6:coauthVersionLast="47" xr6:coauthVersionMax="47" xr10:uidLastSave="{00000000-0000-0000-0000-000000000000}"/>
  <bookViews>
    <workbookView xWindow="700" yWindow="830" windowWidth="10940" windowHeight="9180" tabRatio="915" firstSheet="4" activeTab="6" xr2:uid="{4FC4CBE6-982A-425A-A951-D5F54DB52007}"/>
  </bookViews>
  <sheets>
    <sheet name="Unique" sheetId="9" state="hidden" r:id="rId1"/>
    <sheet name="SORT FUNCTION" sheetId="10" state="hidden" r:id="rId2"/>
    <sheet name="FILTER FUNCTION" sheetId="11" state="hidden" r:id="rId3"/>
    <sheet name="Pivot Table Diagram" sheetId="7" state="hidden" r:id="rId4"/>
    <sheet name="LAB" sheetId="12" r:id="rId5"/>
    <sheet name="Pivot2" sheetId="16" r:id="rId6"/>
    <sheet name="Dashboard" sheetId="24" r:id="rId7"/>
  </sheets>
  <externalReferences>
    <externalReference r:id="rId8"/>
    <externalReference r:id="rId9"/>
    <externalReference r:id="rId10"/>
    <externalReference r:id="rId11"/>
  </externalReferences>
  <definedNames>
    <definedName name="Category">'[1]Database Functions'!$C$5:$C$62</definedName>
    <definedName name="CodeList">'[2]In List'!$C$2:$C$4</definedName>
    <definedName name="Division">'[1]Database Functions'!$B$5:$B$62</definedName>
    <definedName name="Gross_Margin" localSheetId="3">#REF!</definedName>
    <definedName name="Gross_Margin">#REF!</definedName>
    <definedName name="List" localSheetId="3">#REF!</definedName>
    <definedName name="List">#REF!</definedName>
    <definedName name="Number06">[2]!tblLottery[No6]</definedName>
    <definedName name="NumberCheck">[3]LotteryTable!$C1:INDEX(Number06,COUNT(Number06),1)</definedName>
    <definedName name="NumberCheckList">[2]LotteryList!$B1:INDEX([2]LotteryList!$G:$G,COUNTA([2]LotteryList!$G:$G),1)</definedName>
    <definedName name="Prod_Info">[4]Products!$A$3:$E$23</definedName>
    <definedName name="Q1soft">#REF!</definedName>
    <definedName name="Slicer_Region">#N/A</definedName>
    <definedName name="Slicer_Report_Date">#N/A</definedName>
    <definedName name="Total_Expenses">'[1]Database Functions'!$G$5:$G$62</definedName>
    <definedName name="vlookup_table" localSheetId="3">#REF!</definedName>
    <definedName name="vlookup_table">#REF!</definedName>
  </definedNames>
  <calcPr calcId="191028"/>
  <pivotCaches>
    <pivotCache cacheId="0"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1" i="12" l="1"/>
  <c r="C51" i="12"/>
  <c r="D51" i="12"/>
  <c r="E51" i="12"/>
  <c r="G51" i="12"/>
  <c r="C34" i="16"/>
  <c r="M13" i="12" s="1"/>
  <c r="M12" i="12"/>
  <c r="M11" i="12"/>
  <c r="C5" i="16"/>
  <c r="F4" i="11" a="1"/>
  <c r="F4" i="11" s="1"/>
  <c r="G2" i="10" a="1"/>
  <c r="G2" i="10" s="1"/>
  <c r="A16" i="9" a="1"/>
  <c r="A16" i="9"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<sst xmlns="http://schemas.openxmlformats.org/spreadsheetml/2006/main" count="213" uniqueCount="64">
  <si>
    <t>Tom</t>
  </si>
  <si>
    <t>Total Sales:</t>
  </si>
  <si>
    <t>East</t>
  </si>
  <si>
    <t>North</t>
  </si>
  <si>
    <t>South</t>
  </si>
  <si>
    <t>West</t>
  </si>
  <si>
    <t>Customer Name</t>
  </si>
  <si>
    <t>Service Type</t>
  </si>
  <si>
    <t>Date</t>
  </si>
  <si>
    <t>Fife, Grant</t>
  </si>
  <si>
    <t>Tire Rotation</t>
  </si>
  <si>
    <t>Pruitt, Barbara</t>
  </si>
  <si>
    <t>Oil Change</t>
  </si>
  <si>
    <t>Horn, Frances</t>
  </si>
  <si>
    <t>30k mile service</t>
  </si>
  <si>
    <t>Barret, Alicia</t>
  </si>
  <si>
    <t>Brake Pads</t>
  </si>
  <si>
    <t>Larson, Lynn</t>
  </si>
  <si>
    <t>Snook, Anthony</t>
  </si>
  <si>
    <t>Transmission flush</t>
  </si>
  <si>
    <t>Brown,Charity</t>
  </si>
  <si>
    <t>One-time Only Customers</t>
  </si>
  <si>
    <t>Region</t>
  </si>
  <si>
    <t>Sales Rep</t>
  </si>
  <si>
    <t>Product</t>
  </si>
  <si>
    <t>Units</t>
  </si>
  <si>
    <t>Sorted</t>
  </si>
  <si>
    <t>Apple</t>
  </si>
  <si>
    <t>Fred</t>
  </si>
  <si>
    <t>Grape</t>
  </si>
  <si>
    <t>Amy</t>
  </si>
  <si>
    <t>Pear</t>
  </si>
  <si>
    <t>Sal</t>
  </si>
  <si>
    <t>Banana</t>
  </si>
  <si>
    <t>Fritz</t>
  </si>
  <si>
    <t>Sravan</t>
  </si>
  <si>
    <t xml:space="preserve">Sales Transactions </t>
  </si>
  <si>
    <t xml:space="preserve">North </t>
  </si>
  <si>
    <t>Stravan</t>
  </si>
  <si>
    <t>My Grocery Store Chain</t>
  </si>
  <si>
    <t>Store Name</t>
  </si>
  <si>
    <t>Report_Date</t>
  </si>
  <si>
    <t>Reported_Sales</t>
  </si>
  <si>
    <t>INSTRUCTIONS</t>
  </si>
  <si>
    <t>Kosher Grocer</t>
  </si>
  <si>
    <t>Uptown</t>
  </si>
  <si>
    <t>Insert a pivot table (to a new sheet)</t>
  </si>
  <si>
    <t>Midtown</t>
  </si>
  <si>
    <t>Rename the sheet as Pivot2</t>
  </si>
  <si>
    <t>Downtown</t>
  </si>
  <si>
    <t>Name the table as StoreSales</t>
  </si>
  <si>
    <t>Suburb</t>
  </si>
  <si>
    <t>Apply the accounting number format</t>
  </si>
  <si>
    <t>Answer the following questions</t>
  </si>
  <si>
    <t>Highest grossing store:</t>
  </si>
  <si>
    <t>Highest grossing Region:</t>
  </si>
  <si>
    <t>Total sales for Kosher Grocer and Gourmet Grocer:</t>
  </si>
  <si>
    <t>Rite Grocer</t>
  </si>
  <si>
    <t>Gourmet Grocer</t>
  </si>
  <si>
    <t>Fair Grocer</t>
  </si>
  <si>
    <t>Grand Total</t>
  </si>
  <si>
    <t>Sum of Reported_Sales</t>
  </si>
  <si>
    <t>Row Labels</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</si>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</sst>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43" formatCode="_(* #,##0.00_);_(* \(#,##0.00\);_(* &quot;-&quot;??_);_(@_)"/>
    <numFmt numFmtId="164" formatCode="&quot;$&quot;#,##0"/>
  </numFmts>
  <fonts count="25" x14ac:knownFonts="1">
    <font>
      <sz val="12"/>
      <color theme="1"/>
      <name val="Courier New"/>
      <family val="2"/>
    </font>
    <font>
      <sz val="12"/>
      <color theme="1"/>
      <name val="Calibri"/>
      <family val="2"/>
      <scheme val="minor"/>
    </font>
    <font>
      <sz val="18"/>
      <color theme="3"/>
      <name val="Calibri Light"/>
      <family val="2"/>
      <scheme val="major"/>
    </font>
    <font>
      <sz val="10"/>
      <name val="Arial"/>
      <family val="2"/>
    </font>
    <font>
      <sz val="11"/>
      <color theme="1"/>
      <name val="Calibri"/>
      <family val="2"/>
      <scheme val="minor"/>
    </font>
    <font>
      <b/>
      <sz val="11"/>
      <color theme="1"/>
      <name val="Calibri"/>
      <family val="2"/>
      <scheme val="minor"/>
    </font>
    <font>
      <sz val="10"/>
      <name val="Arial"/>
      <family val="2"/>
    </font>
    <font>
      <b/>
      <sz val="11"/>
      <color theme="3"/>
      <name val="Calibri"/>
      <family val="2"/>
      <scheme val="minor"/>
    </font>
    <font>
      <b/>
      <sz val="11"/>
      <color rgb="FF3F3F3F"/>
      <name val="Calibri"/>
      <family val="2"/>
      <scheme val="minor"/>
    </font>
    <font>
      <sz val="11"/>
      <color theme="0"/>
      <name val="Calibri"/>
      <family val="2"/>
      <scheme val="minor"/>
    </font>
    <font>
      <b/>
      <sz val="12"/>
      <color theme="0"/>
      <name val="Calibri"/>
      <family val="2"/>
      <scheme val="minor"/>
    </font>
    <font>
      <sz val="11"/>
      <color rgb="FF3F3F76"/>
      <name val="Calibri"/>
      <family val="2"/>
      <scheme val="minor"/>
    </font>
    <font>
      <u/>
      <sz val="11"/>
      <color theme="10"/>
      <name val="Calibri"/>
      <family val="2"/>
      <scheme val="minor"/>
    </font>
    <font>
      <b/>
      <sz val="14"/>
      <color theme="1"/>
      <name val="Calibri"/>
      <family val="2"/>
      <scheme val="minor"/>
    </font>
    <font>
      <sz val="12"/>
      <color theme="1"/>
      <name val="Calibri"/>
      <family val="2"/>
      <scheme val="minor"/>
    </font>
    <font>
      <sz val="12"/>
      <color theme="0"/>
      <name val="Calibri"/>
      <family val="2"/>
      <scheme val="minor"/>
    </font>
    <font>
      <sz val="12"/>
      <color rgb="FF3F3F76"/>
      <name val="Calibri"/>
      <family val="2"/>
      <scheme val="minor"/>
    </font>
    <font>
      <b/>
      <sz val="11"/>
      <color rgb="FF3F3F3F"/>
      <name val="Calibri"/>
      <family val="2"/>
      <scheme val="minor"/>
    </font>
    <font>
      <sz val="11"/>
      <color theme="0"/>
      <name val="Calibri"/>
      <family val="2"/>
      <scheme val="minor"/>
    </font>
    <font>
      <sz val="14"/>
      <color theme="1"/>
      <name val="Calibri"/>
      <family val="2"/>
      <scheme val="minor"/>
    </font>
    <font>
      <sz val="14"/>
      <color theme="0"/>
      <name val="Calibri"/>
      <family val="2"/>
      <scheme val="minor"/>
    </font>
    <font>
      <b/>
      <sz val="12"/>
      <color rgb="FF3F3F3F"/>
      <name val="Calibri"/>
      <family val="2"/>
      <scheme val="minor"/>
    </font>
    <font>
      <b/>
      <sz val="14"/>
      <color rgb="FF3F3F3F"/>
      <name val="Calibri"/>
      <family val="2"/>
      <scheme val="minor"/>
    </font>
    <font>
      <b/>
      <sz val="12"/>
      <color theme="1"/>
      <name val="Courier New"/>
      <family val="3"/>
    </font>
    <font>
      <b/>
      <sz val="18"/>
      <color rgb="FFFFFF00"/>
      <name val="Cambria"/>
      <family val="1"/>
    </font>
  </fonts>
  <fills count="15">
    <fill>
      <patternFill patternType="none"/>
    </fill>
    <fill>
      <patternFill patternType="gray125"/>
    </fill>
    <fill>
      <patternFill patternType="solid">
        <fgColor rgb="FFFFCC99"/>
      </patternFill>
    </fill>
    <fill>
      <patternFill patternType="solid">
        <fgColor rgb="FFF2F2F2"/>
      </patternFill>
    </fill>
    <fill>
      <patternFill patternType="solid">
        <fgColor theme="4"/>
      </patternFill>
    </fill>
    <fill>
      <patternFill patternType="solid">
        <fgColor theme="5" tint="0.79998168889431442"/>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patternFill>
    </fill>
    <fill>
      <patternFill patternType="solid">
        <fgColor theme="9"/>
        <bgColor theme="9"/>
      </patternFill>
    </fill>
    <fill>
      <patternFill patternType="solid">
        <fgColor theme="4" tint="0.59999389629810485"/>
        <bgColor indexed="64"/>
      </patternFill>
    </fill>
    <fill>
      <patternFill patternType="solid">
        <fgColor rgb="FFF2F2F2"/>
        <bgColor indexed="64"/>
      </patternFill>
    </fill>
  </fills>
  <borders count="9">
    <border>
      <left/>
      <right/>
      <top/>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right style="thin">
        <color rgb="FF3F3F3F"/>
      </right>
      <top/>
      <bottom/>
      <diagonal/>
    </border>
    <border>
      <left style="thin">
        <color rgb="FF3F3F3F"/>
      </left>
      <right style="thin">
        <color rgb="FF3F3F3F"/>
      </right>
      <top style="thin">
        <color rgb="FF3F3F3F"/>
      </top>
      <bottom style="thin">
        <color theme="4" tint="0.39997558519241921"/>
      </bottom>
      <diagonal/>
    </border>
  </borders>
  <cellStyleXfs count="29">
    <xf numFmtId="0" fontId="0" fillId="0" borderId="0"/>
    <xf numFmtId="0" fontId="2" fillId="0" borderId="0" applyNumberFormat="0" applyFill="0" applyBorder="0" applyAlignment="0" applyProtection="0"/>
    <xf numFmtId="0" fontId="3" fillId="0" borderId="0"/>
    <xf numFmtId="0" fontId="4" fillId="0" borderId="0"/>
    <xf numFmtId="43" fontId="4" fillId="0" borderId="0" applyFont="0" applyFill="0" applyBorder="0" applyAlignment="0" applyProtection="0"/>
    <xf numFmtId="0" fontId="6" fillId="0" borderId="0"/>
    <xf numFmtId="0" fontId="4" fillId="9" borderId="0" applyNumberFormat="0" applyBorder="0" applyAlignment="0" applyProtection="0"/>
    <xf numFmtId="0" fontId="7" fillId="0" borderId="1" applyNumberFormat="0" applyFill="0" applyAlignment="0" applyProtection="0"/>
    <xf numFmtId="0" fontId="4" fillId="8" borderId="0" applyNumberFormat="0" applyBorder="0" applyAlignment="0" applyProtection="0"/>
    <xf numFmtId="0" fontId="4" fillId="7" borderId="0" applyNumberFormat="0" applyBorder="0" applyAlignment="0" applyProtection="0"/>
    <xf numFmtId="0" fontId="7" fillId="0" borderId="0" applyNumberFormat="0" applyFill="0" applyBorder="0" applyAlignment="0" applyProtection="0"/>
    <xf numFmtId="44" fontId="6" fillId="0" borderId="0" applyFont="0" applyFill="0" applyBorder="0" applyAlignment="0" applyProtection="0"/>
    <xf numFmtId="0" fontId="8" fillId="3" borderId="3" applyNumberFormat="0" applyAlignment="0" applyProtection="0"/>
    <xf numFmtId="0" fontId="4" fillId="6" borderId="0" applyNumberFormat="0" applyBorder="0" applyAlignment="0" applyProtection="0"/>
    <xf numFmtId="0" fontId="6" fillId="0" borderId="0"/>
    <xf numFmtId="0" fontId="4" fillId="10" borderId="0" applyNumberFormat="0" applyBorder="0" applyAlignment="0" applyProtection="0"/>
    <xf numFmtId="44" fontId="6" fillId="0" borderId="0" applyFont="0" applyFill="0" applyBorder="0" applyAlignment="0" applyProtection="0"/>
    <xf numFmtId="0" fontId="4" fillId="5" borderId="0" applyNumberFormat="0" applyBorder="0" applyAlignment="0" applyProtection="0"/>
    <xf numFmtId="0" fontId="9" fillId="4" borderId="0" applyNumberFormat="0" applyBorder="0" applyAlignment="0" applyProtection="0"/>
    <xf numFmtId="0" fontId="11" fillId="2" borderId="2" applyNumberFormat="0" applyAlignment="0" applyProtection="0"/>
    <xf numFmtId="0" fontId="12" fillId="0" borderId="0" applyNumberFormat="0" applyFill="0" applyBorder="0" applyAlignment="0" applyProtection="0"/>
    <xf numFmtId="44" fontId="4" fillId="0" borderId="0" applyFont="0" applyFill="0" applyBorder="0" applyAlignment="0" applyProtection="0"/>
    <xf numFmtId="0" fontId="7" fillId="0" borderId="0" applyNumberFormat="0" applyFill="0" applyBorder="0" applyAlignment="0" applyProtection="0"/>
    <xf numFmtId="0" fontId="14" fillId="0" borderId="0"/>
    <xf numFmtId="0" fontId="15" fillId="4" borderId="0" applyNumberFormat="0" applyBorder="0" applyAlignment="0" applyProtection="0"/>
    <xf numFmtId="0" fontId="15" fillId="11" borderId="0" applyNumberFormat="0" applyBorder="0" applyAlignment="0" applyProtection="0"/>
    <xf numFmtId="0" fontId="16" fillId="2" borderId="2" applyNumberFormat="0" applyAlignment="0" applyProtection="0"/>
    <xf numFmtId="0" fontId="17" fillId="3" borderId="3" applyNumberFormat="0" applyAlignment="0" applyProtection="0"/>
    <xf numFmtId="0" fontId="18" fillId="4" borderId="0" applyNumberFormat="0" applyBorder="0" applyAlignment="0" applyProtection="0"/>
  </cellStyleXfs>
  <cellXfs count="42">
    <xf numFmtId="0" fontId="0" fillId="0" borderId="0" xfId="0"/>
    <xf numFmtId="0" fontId="4" fillId="0" borderId="0" xfId="3"/>
    <xf numFmtId="0" fontId="5" fillId="0" borderId="0" xfId="3" applyFont="1"/>
    <xf numFmtId="0" fontId="12" fillId="0" borderId="0" xfId="20"/>
    <xf numFmtId="0" fontId="14" fillId="0" borderId="0" xfId="23"/>
    <xf numFmtId="14" fontId="14" fillId="0" borderId="0" xfId="23" applyNumberFormat="1"/>
    <xf numFmtId="0" fontId="15" fillId="4" borderId="0" xfId="24"/>
    <xf numFmtId="0" fontId="15" fillId="11" borderId="0" xfId="25"/>
    <xf numFmtId="3" fontId="14" fillId="0" borderId="0" xfId="23" applyNumberFormat="1"/>
    <xf numFmtId="0" fontId="2" fillId="0" borderId="0" xfId="1"/>
    <xf numFmtId="0" fontId="7" fillId="0" borderId="0" xfId="22"/>
    <xf numFmtId="0" fontId="16" fillId="2" borderId="2" xfId="26"/>
    <xf numFmtId="0" fontId="10" fillId="12" borderId="4" xfId="23" applyFont="1" applyFill="1" applyBorder="1"/>
    <xf numFmtId="0" fontId="10" fillId="12" borderId="5" xfId="23" applyFont="1" applyFill="1" applyBorder="1"/>
    <xf numFmtId="0" fontId="10" fillId="12" borderId="6" xfId="23" applyFont="1" applyFill="1" applyBorder="1"/>
    <xf numFmtId="0" fontId="15" fillId="4" borderId="0" xfId="28" applyFont="1"/>
    <xf numFmtId="0" fontId="19" fillId="0" borderId="0" xfId="0" applyFont="1"/>
    <xf numFmtId="0" fontId="14" fillId="0" borderId="0" xfId="0" applyFont="1"/>
    <xf numFmtId="14" fontId="14" fillId="0" borderId="0" xfId="0" applyNumberFormat="1" applyFont="1"/>
    <xf numFmtId="0" fontId="13" fillId="0" borderId="0" xfId="0" applyFont="1"/>
    <xf numFmtId="0" fontId="13" fillId="0" borderId="0" xfId="0" applyFont="1" applyAlignment="1">
      <alignment horizontal="left"/>
    </xf>
    <xf numFmtId="0" fontId="19" fillId="0" borderId="0" xfId="0" applyFont="1" applyAlignment="1">
      <alignment horizontal="left"/>
    </xf>
    <xf numFmtId="0" fontId="22" fillId="3" borderId="3" xfId="27" applyFont="1" applyAlignment="1">
      <alignment horizontal="left"/>
    </xf>
    <xf numFmtId="0" fontId="0" fillId="0" borderId="0" xfId="0" pivotButton="1"/>
    <xf numFmtId="44" fontId="21" fillId="3" borderId="3" xfId="27" applyNumberFormat="1" applyFont="1"/>
    <xf numFmtId="164" fontId="0" fillId="0" borderId="0" xfId="0" applyNumberFormat="1"/>
    <xf numFmtId="0" fontId="0" fillId="0" borderId="0" xfId="0" applyAlignment="1">
      <alignment horizontal="left"/>
    </xf>
    <xf numFmtId="0" fontId="23" fillId="0" borderId="0" xfId="0" applyFont="1" applyAlignment="1">
      <alignment horizontal="left"/>
    </xf>
    <xf numFmtId="0" fontId="1" fillId="0" borderId="0" xfId="0" applyFont="1"/>
    <xf numFmtId="44" fontId="21" fillId="3" borderId="8" xfId="27" applyNumberFormat="1" applyFont="1" applyBorder="1"/>
    <xf numFmtId="44" fontId="0" fillId="0" borderId="0" xfId="0" applyNumberFormat="1"/>
    <xf numFmtId="44" fontId="23" fillId="0" borderId="0" xfId="0" applyNumberFormat="1" applyFont="1"/>
    <xf numFmtId="0" fontId="24" fillId="13" borderId="0" xfId="0" applyFont="1" applyFill="1"/>
    <xf numFmtId="0" fontId="0" fillId="13" borderId="0" xfId="0" applyFill="1"/>
    <xf numFmtId="44" fontId="0" fillId="13" borderId="0" xfId="0" applyNumberFormat="1" applyFill="1"/>
    <xf numFmtId="0" fontId="1" fillId="0" borderId="7" xfId="0" applyFont="1" applyBorder="1"/>
    <xf numFmtId="44" fontId="21" fillId="14" borderId="3" xfId="0" applyNumberFormat="1" applyFont="1" applyFill="1" applyBorder="1"/>
    <xf numFmtId="0" fontId="20" fillId="4" borderId="0" xfId="28" applyFont="1" applyAlignment="1">
      <alignment horizontal="left"/>
    </xf>
    <xf numFmtId="0" fontId="20" fillId="4" borderId="0" xfId="28" applyFont="1" applyAlignment="1">
      <alignment horizontal="center" vertical="center" wrapText="1"/>
    </xf>
    <xf numFmtId="44" fontId="22" fillId="3" borderId="3" xfId="27" applyNumberFormat="1" applyFont="1" applyAlignment="1">
      <alignment horizontal="center"/>
    </xf>
    <xf numFmtId="0" fontId="20" fillId="4" borderId="0" xfId="28" applyFont="1" applyAlignment="1">
      <alignment horizontal="center"/>
    </xf>
    <xf numFmtId="0" fontId="13" fillId="0" borderId="0" xfId="0" applyFont="1" applyAlignment="1">
      <alignment horizontal="left"/>
    </xf>
  </cellXfs>
  <cellStyles count="29">
    <cellStyle name="20% - Accent2 2" xfId="17" xr:uid="{43995203-A883-413A-B3DB-B4C0B1E80CD4}"/>
    <cellStyle name="20% - Accent3 2" xfId="13" xr:uid="{58B073A7-E95D-4E30-8E9C-F0D151E46D1E}"/>
    <cellStyle name="20% - Accent4 2" xfId="8" xr:uid="{2DD3F04E-3A9D-41E0-95EB-0980FE501AC1}"/>
    <cellStyle name="20% - Accent6 2" xfId="15" xr:uid="{E32380E0-F8CF-4EEC-AA3B-F7622BD0C04A}"/>
    <cellStyle name="40% - Accent3 2" xfId="9" xr:uid="{AA2310A4-8E29-40E7-BEEB-5DD4FF5DB509}"/>
    <cellStyle name="40% - Accent5 2" xfId="6" xr:uid="{FEF36B6C-DC24-40F1-97B1-974775BA8E60}"/>
    <cellStyle name="Accent1" xfId="28" builtinId="29"/>
    <cellStyle name="Accent1 2" xfId="18" xr:uid="{5059306A-ACCC-4D53-B60D-D76E9AC45A84}"/>
    <cellStyle name="Accent1 3" xfId="24" xr:uid="{151C389B-24FD-4D67-A014-B9CD94F9F029}"/>
    <cellStyle name="Accent6 2" xfId="25" xr:uid="{412CABBF-BA43-4A96-AF0F-C332D3AA7FC9}"/>
    <cellStyle name="Comma 2" xfId="4" xr:uid="{0F6A3A5A-8FC8-410D-921E-D9A7785419F7}"/>
    <cellStyle name="Currency 2" xfId="11" xr:uid="{648998A3-C6EF-42BD-8A53-2BDEF1AFD9D4}"/>
    <cellStyle name="Currency 2 2" xfId="16" xr:uid="{2FD7DBE2-8F49-4304-8118-9D128F42734A}"/>
    <cellStyle name="Currency 2 2 2" xfId="21" xr:uid="{1CF54961-F867-4064-80CE-7DD9091D4188}"/>
    <cellStyle name="Heading 3 2" xfId="7" xr:uid="{57F07A40-8416-4976-AFD9-A44585828B13}"/>
    <cellStyle name="Heading 4" xfId="22" builtinId="19"/>
    <cellStyle name="Heading 4 2" xfId="10" xr:uid="{9F80445A-C417-432F-A4D5-60F6BCFCE793}"/>
    <cellStyle name="Hyperlink" xfId="20" builtinId="8"/>
    <cellStyle name="Input 2" xfId="19" xr:uid="{5E4FD748-E6FE-4039-986E-0DD920653F81}"/>
    <cellStyle name="Input 3" xfId="26" xr:uid="{21158AE7-E046-4E8A-8073-ABB39E8D5432}"/>
    <cellStyle name="Normal" xfId="0" builtinId="0"/>
    <cellStyle name="Normal 2" xfId="2" xr:uid="{AC87F404-2326-45EB-9AF9-03941A22E771}"/>
    <cellStyle name="Normal 2 2" xfId="5" xr:uid="{44AABCCB-EA19-4107-82F0-304D264E179C}"/>
    <cellStyle name="Normal 3" xfId="3" xr:uid="{8D1B4C21-9C3B-4F4A-A04F-DDDF939B6CBD}"/>
    <cellStyle name="Normal 4" xfId="14" xr:uid="{517FF50D-F3D1-4126-92C1-EE7EDC0BF588}"/>
    <cellStyle name="Normal 5" xfId="23" xr:uid="{DF15918B-C164-43F6-87F8-23F3933C43D4}"/>
    <cellStyle name="Output" xfId="27" builtinId="21"/>
    <cellStyle name="Output 2" xfId="12" xr:uid="{A51BCCE9-C388-4877-8CA1-49898EF39442}"/>
    <cellStyle name="Title" xfId="1" builtinId="15"/>
  </cellStyles>
  <dxfs count="21">
    <dxf>
      <numFmt numFmtId="34" formatCode="_(&quot;$&quot;* #,##0.00_);_(&quot;$&quot;* \(#,##0.00\);_(&quot;$&quot;* &quot;-&quot;??_);_(@_)"/>
    </dxf>
    <dxf>
      <font>
        <b/>
        <family val="3"/>
      </font>
    </dxf>
    <dxf>
      <numFmt numFmtId="34" formatCode="_(&quot;$&quot;* #,##0.00_);_(&quot;$&quot;* \(#,##0.00\);_(&quot;$&quot;* &quot;-&quot;??_);_(@_)"/>
    </dxf>
    <dxf>
      <font>
        <b/>
        <family val="3"/>
      </font>
    </dxf>
    <dxf>
      <font>
        <b/>
        <family val="3"/>
      </font>
    </dxf>
    <dxf>
      <numFmt numFmtId="34" formatCode="_(&quot;$&quot;* #,##0.00_);_(&quot;$&quot;* \(#,##0.00\);_(&quot;$&quot;* &quot;-&quot;??_);_(@_)"/>
    </dxf>
    <dxf>
      <numFmt numFmtId="3" formatCode="#,##0"/>
    </dxf>
    <dxf>
      <numFmt numFmtId="19" formatCode="m/d/yyyy"/>
    </dxf>
    <dxf>
      <font>
        <b/>
        <i val="0"/>
        <strike val="0"/>
        <condense val="0"/>
        <extend val="0"/>
        <outline val="0"/>
        <shadow val="0"/>
        <u val="none"/>
        <vertAlign val="baseline"/>
        <sz val="12"/>
        <color rgb="FF3F3F3F"/>
        <name val="Calibri"/>
        <family val="2"/>
        <scheme val="minor"/>
      </font>
      <numFmt numFmtId="34" formatCode="_(&quot;$&quot;* #,##0.00_);_(&quot;$&quot;* \(#,##0.00\);_(&quot;$&quot;* &quot;-&quot;??_);_(@_)"/>
      <fill>
        <patternFill patternType="solid">
          <fgColor indexed="64"/>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2"/>
        <color rgb="FF3F3F3F"/>
        <name val="Calibri"/>
        <family val="2"/>
        <scheme val="minor"/>
      </font>
      <numFmt numFmtId="34" formatCode="_(&quot;$&quot;* #,##0.00_);_(&quot;$&quot;* \(#,##0.00\);_(&quot;$&quot;* &quot;-&quot;??_);_(@_)"/>
    </dxf>
    <dxf>
      <font>
        <b val="0"/>
        <i val="0"/>
        <strike val="0"/>
        <condense val="0"/>
        <extend val="0"/>
        <outline val="0"/>
        <shadow val="0"/>
        <u val="none"/>
        <vertAlign val="baseline"/>
        <sz val="12"/>
        <color theme="1"/>
        <name val="Calibri"/>
        <family val="2"/>
        <scheme val="minor"/>
      </font>
      <numFmt numFmtId="19" formatCode="m/d/yyyy"/>
      <border diagonalUp="0" diagonalDown="0" outline="0">
        <left/>
        <right style="thin">
          <color rgb="FF3F3F3F"/>
        </right>
        <top/>
        <bottom/>
      </border>
    </dxf>
    <dxf>
      <font>
        <b val="0"/>
        <i val="0"/>
        <strike val="0"/>
        <condense val="0"/>
        <extend val="0"/>
        <outline val="0"/>
        <shadow val="0"/>
        <u val="none"/>
        <vertAlign val="baseline"/>
        <sz val="12"/>
        <color theme="1"/>
        <name val="Calibri"/>
        <family val="2"/>
        <scheme val="minor"/>
      </font>
      <numFmt numFmtId="19" formatCode="m/d/yyyy"/>
      <border outline="0">
        <right style="thin">
          <color rgb="FF3F3F3F"/>
        </right>
      </border>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1"/>
        <name val="Calibri"/>
        <family val="2"/>
        <scheme val="minor"/>
      </font>
    </dxf>
    <dxf>
      <font>
        <b val="0"/>
        <i val="0"/>
        <strike val="0"/>
        <condense val="0"/>
        <extend val="0"/>
        <outline val="0"/>
        <shadow val="0"/>
        <u val="none"/>
        <vertAlign val="baseline"/>
        <sz val="12"/>
        <color theme="0"/>
        <name val="Calibri"/>
        <family val="2"/>
        <scheme val="minor"/>
      </font>
    </dxf>
    <dxf>
      <font>
        <b/>
        <color theme="1"/>
      </font>
      <border>
        <bottom style="thin">
          <color theme="4"/>
        </bottom>
        <vertical/>
        <horizontal/>
      </border>
    </dxf>
    <dxf>
      <font>
        <sz val="20"/>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i val="0"/>
        <strike val="0"/>
        <sz val="16"/>
        <color auto="1"/>
        <name val="Arial"/>
        <family val="2"/>
        <scheme val="none"/>
      </font>
      <fill>
        <patternFill>
          <bgColor theme="4" tint="0.59996337778862885"/>
        </patternFill>
      </fill>
      <border diagonalUp="0" diagonalDown="0">
        <left style="thick">
          <color theme="4" tint="0.39991454817346722"/>
        </left>
        <right style="medium">
          <color theme="4" tint="0.39991454817346722"/>
        </right>
        <top style="medium">
          <color theme="4" tint="0.39991454817346722"/>
        </top>
        <bottom style="medium">
          <color theme="4" tint="0.39991454817346722"/>
        </bottom>
        <vertical/>
        <horizontal/>
      </border>
    </dxf>
  </dxfs>
  <tableStyles count="2" defaultTableStyle="TableStyleMedium2" defaultPivotStyle="PivotStyleLight16">
    <tableStyle name="SlicerStyleLight1 2" pivot="0" table="0" count="10" xr9:uid="{B28439A4-0C16-492A-B9D2-D4AA333B5218}">
      <tableStyleElement type="wholeTable" dxfId="20"/>
      <tableStyleElement type="headerRow" dxfId="19"/>
    </tableStyle>
    <tableStyle name="SlicerStyleLight1 2 2" pivot="0" table="0" count="10" xr9:uid="{C5B99E38-8A34-486E-B660-DF155035F969}">
      <tableStyleElement type="wholeTable" dxfId="18"/>
      <tableStyleElement type="headerRow" dxfId="17"/>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20"/>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20"/>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6"/>
            <color rgb="FF000000"/>
            <name val="Arial"/>
            <family val="2"/>
            <scheme val="none"/>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6"/>
            <color rgb="FF000000"/>
            <name val="Arial"/>
            <family val="2"/>
            <scheme val="none"/>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microsoft.com/office/2007/relationships/slicerCache" Target="slicerCaches/slicerCache1.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3.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microsoft.com/office/2007/relationships/slicerCache" Target="slicerCaches/slicerCache2.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grocery store chain.xlsx]Pivot2!pt_region</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Pivot2!$B$7</c:f>
              <c:strCache>
                <c:ptCount val="1"/>
                <c:pt idx="0">
                  <c:v>Total</c:v>
                </c:pt>
              </c:strCache>
            </c:strRef>
          </c:tx>
          <c:spPr>
            <a:solidFill>
              <a:schemeClr val="accent1"/>
            </a:solidFill>
            <a:ln>
              <a:noFill/>
            </a:ln>
            <a:effectLst/>
          </c:spPr>
          <c:invertIfNegative val="0"/>
          <c:cat>
            <c:strRef>
              <c:f>Pivot2!$A$8:$A$12</c:f>
              <c:strCache>
                <c:ptCount val="4"/>
                <c:pt idx="0">
                  <c:v>Suburb</c:v>
                </c:pt>
                <c:pt idx="1">
                  <c:v>Downtown</c:v>
                </c:pt>
                <c:pt idx="2">
                  <c:v>Uptown</c:v>
                </c:pt>
                <c:pt idx="3">
                  <c:v>Midtown</c:v>
                </c:pt>
              </c:strCache>
            </c:strRef>
          </c:cat>
          <c:val>
            <c:numRef>
              <c:f>Pivot2!$B$8:$B$12</c:f>
              <c:numCache>
                <c:formatCode>_("$"* #,##0.00_);_("$"* \(#,##0.00\);_("$"* "-"??_);_(@_)</c:formatCode>
                <c:ptCount val="4"/>
                <c:pt idx="0">
                  <c:v>13823569</c:v>
                </c:pt>
                <c:pt idx="1">
                  <c:v>13676863</c:v>
                </c:pt>
                <c:pt idx="2">
                  <c:v>13525765</c:v>
                </c:pt>
                <c:pt idx="3">
                  <c:v>13522646</c:v>
                </c:pt>
              </c:numCache>
            </c:numRef>
          </c:val>
          <c:extLst>
            <c:ext xmlns:c16="http://schemas.microsoft.com/office/drawing/2014/chart" uri="{C3380CC4-5D6E-409C-BE32-E72D297353CC}">
              <c16:uniqueId val="{00000006-47EC-441C-A2D8-C1FE38A4C50F}"/>
            </c:ext>
          </c:extLst>
        </c:ser>
        <c:dLbls>
          <c:showLegendKey val="0"/>
          <c:showVal val="0"/>
          <c:showCatName val="0"/>
          <c:showSerName val="0"/>
          <c:showPercent val="0"/>
          <c:showBubbleSize val="0"/>
        </c:dLbls>
        <c:gapWidth val="150"/>
        <c:axId val="170175488"/>
        <c:axId val="170187488"/>
      </c:barChart>
      <c:catAx>
        <c:axId val="17017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87488"/>
        <c:crosses val="autoZero"/>
        <c:auto val="0"/>
        <c:lblAlgn val="ctr"/>
        <c:lblOffset val="100"/>
        <c:noMultiLvlLbl val="0"/>
      </c:catAx>
      <c:valAx>
        <c:axId val="17018748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75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grocery store chain.xlsx]Pivot2!pt_Store Sales </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Highest</a:t>
            </a:r>
            <a:r>
              <a:rPr lang="en-US" baseline="0"/>
              <a:t> Grossing Stores by Total Revenue</a:t>
            </a:r>
            <a:endParaRPr lang="en-US"/>
          </a:p>
        </c:rich>
      </c:tx>
      <c:layout>
        <c:manualLayout>
          <c:xMode val="edge"/>
          <c:yMode val="edge"/>
          <c:x val="0.15789001817544604"/>
          <c:y val="0.1452610437302443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Pivot2!$B$21</c:f>
              <c:strCache>
                <c:ptCount val="1"/>
                <c:pt idx="0">
                  <c:v>Total</c:v>
                </c:pt>
              </c:strCache>
            </c:strRef>
          </c:tx>
          <c:spPr>
            <a:solidFill>
              <a:schemeClr val="accent1"/>
            </a:solidFill>
            <a:ln>
              <a:noFill/>
            </a:ln>
            <a:effectLst/>
          </c:spPr>
          <c:invertIfNegative val="0"/>
          <c:cat>
            <c:strRef>
              <c:f>Pivot2!$A$22:$A$26</c:f>
              <c:strCache>
                <c:ptCount val="4"/>
                <c:pt idx="0">
                  <c:v>Kosher Grocer</c:v>
                </c:pt>
                <c:pt idx="1">
                  <c:v>Fair Grocer</c:v>
                </c:pt>
                <c:pt idx="2">
                  <c:v>Rite Grocer</c:v>
                </c:pt>
                <c:pt idx="3">
                  <c:v>Gourmet Grocer</c:v>
                </c:pt>
              </c:strCache>
            </c:strRef>
          </c:cat>
          <c:val>
            <c:numRef>
              <c:f>Pivot2!$B$22:$B$26</c:f>
              <c:numCache>
                <c:formatCode>_("$"* #,##0.00_);_("$"* \(#,##0.00\);_("$"* "-"??_);_(@_)</c:formatCode>
                <c:ptCount val="4"/>
                <c:pt idx="0">
                  <c:v>14065763</c:v>
                </c:pt>
                <c:pt idx="1">
                  <c:v>13769681</c:v>
                </c:pt>
                <c:pt idx="2">
                  <c:v>13493482</c:v>
                </c:pt>
                <c:pt idx="3">
                  <c:v>13219917</c:v>
                </c:pt>
              </c:numCache>
            </c:numRef>
          </c:val>
          <c:extLst>
            <c:ext xmlns:c16="http://schemas.microsoft.com/office/drawing/2014/chart" uri="{C3380CC4-5D6E-409C-BE32-E72D297353CC}">
              <c16:uniqueId val="{00000000-1271-48B2-ABF6-F45F90FD05A3}"/>
            </c:ext>
          </c:extLst>
        </c:ser>
        <c:dLbls>
          <c:showLegendKey val="0"/>
          <c:showVal val="0"/>
          <c:showCatName val="0"/>
          <c:showSerName val="0"/>
          <c:showPercent val="0"/>
          <c:showBubbleSize val="0"/>
        </c:dLbls>
        <c:gapWidth val="182"/>
        <c:axId val="45882144"/>
        <c:axId val="45874944"/>
      </c:barChart>
      <c:catAx>
        <c:axId val="45882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74944"/>
        <c:crosses val="autoZero"/>
        <c:auto val="1"/>
        <c:lblAlgn val="ctr"/>
        <c:lblOffset val="100"/>
        <c:noMultiLvlLbl val="0"/>
      </c:catAx>
      <c:valAx>
        <c:axId val="45874944"/>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882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grocery store chain.xlsx]Pivot2!pt_region</c:name>
    <c:fmtId val="25"/>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600" b="1">
                <a:solidFill>
                  <a:sysClr val="windowText" lastClr="000000"/>
                </a:solidFill>
                <a:latin typeface="Arial" panose="020B0604020202020204" pitchFamily="34" charset="0"/>
                <a:cs typeface="Arial" panose="020B0604020202020204" pitchFamily="34" charset="0"/>
              </a:rPr>
              <a:t>Regional</a:t>
            </a:r>
            <a:r>
              <a:rPr lang="en-US" sz="1600" b="1" baseline="0">
                <a:solidFill>
                  <a:sysClr val="windowText" lastClr="000000"/>
                </a:solidFill>
                <a:latin typeface="Arial" panose="020B0604020202020204" pitchFamily="34" charset="0"/>
                <a:cs typeface="Arial" panose="020B0604020202020204" pitchFamily="34" charset="0"/>
              </a:rPr>
              <a:t> Sales Breakdown</a:t>
            </a:r>
            <a:endParaRPr lang="en-US" sz="1600" b="1">
              <a:solidFill>
                <a:sysClr val="windowText" lastClr="000000"/>
              </a:solidFill>
              <a:latin typeface="Arial" panose="020B0604020202020204" pitchFamily="34" charset="0"/>
              <a:cs typeface="Arial" panose="020B0604020202020204" pitchFamily="34" charset="0"/>
            </a:endParaRPr>
          </a:p>
        </c:rich>
      </c:tx>
      <c:layout>
        <c:manualLayout>
          <c:xMode val="edge"/>
          <c:yMode val="edge"/>
          <c:x val="0.36188905963472368"/>
          <c:y val="0.10583664319130379"/>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Pivot2!$B$7</c:f>
              <c:strCache>
                <c:ptCount val="1"/>
                <c:pt idx="0">
                  <c:v>Total</c:v>
                </c:pt>
              </c:strCache>
            </c:strRef>
          </c:tx>
          <c:spPr>
            <a:solidFill>
              <a:schemeClr val="accent1">
                <a:lumMod val="75000"/>
              </a:schemeClr>
            </a:solidFill>
            <a:ln>
              <a:noFill/>
            </a:ln>
            <a:effectLst/>
          </c:spPr>
          <c:invertIfNegative val="0"/>
          <c:cat>
            <c:strRef>
              <c:f>Pivot2!$A$8:$A$12</c:f>
              <c:strCache>
                <c:ptCount val="4"/>
                <c:pt idx="0">
                  <c:v>Suburb</c:v>
                </c:pt>
                <c:pt idx="1">
                  <c:v>Downtown</c:v>
                </c:pt>
                <c:pt idx="2">
                  <c:v>Uptown</c:v>
                </c:pt>
                <c:pt idx="3">
                  <c:v>Midtown</c:v>
                </c:pt>
              </c:strCache>
            </c:strRef>
          </c:cat>
          <c:val>
            <c:numRef>
              <c:f>Pivot2!$B$8:$B$12</c:f>
              <c:numCache>
                <c:formatCode>_("$"* #,##0.00_);_("$"* \(#,##0.00\);_("$"* "-"??_);_(@_)</c:formatCode>
                <c:ptCount val="4"/>
                <c:pt idx="0">
                  <c:v>13823569</c:v>
                </c:pt>
                <c:pt idx="1">
                  <c:v>13676863</c:v>
                </c:pt>
                <c:pt idx="2">
                  <c:v>13525765</c:v>
                </c:pt>
                <c:pt idx="3">
                  <c:v>13522646</c:v>
                </c:pt>
              </c:numCache>
            </c:numRef>
          </c:val>
          <c:extLst>
            <c:ext xmlns:c16="http://schemas.microsoft.com/office/drawing/2014/chart" uri="{C3380CC4-5D6E-409C-BE32-E72D297353CC}">
              <c16:uniqueId val="{00000000-8B1C-4CEB-AD78-AB35A6FA671F}"/>
            </c:ext>
          </c:extLst>
        </c:ser>
        <c:dLbls>
          <c:showLegendKey val="0"/>
          <c:showVal val="0"/>
          <c:showCatName val="0"/>
          <c:showSerName val="0"/>
          <c:showPercent val="0"/>
          <c:showBubbleSize val="0"/>
        </c:dLbls>
        <c:gapWidth val="150"/>
        <c:axId val="170175488"/>
        <c:axId val="170187488"/>
      </c:barChart>
      <c:catAx>
        <c:axId val="17017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70187488"/>
        <c:crosses val="autoZero"/>
        <c:auto val="0"/>
        <c:lblAlgn val="ctr"/>
        <c:lblOffset val="100"/>
        <c:noMultiLvlLbl val="0"/>
      </c:catAx>
      <c:valAx>
        <c:axId val="17018748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70175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grocery store chain.xlsx]Pivot2!pt_Store Sales </c:name>
    <c:fmtId val="11"/>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sz="1600" b="1">
                <a:solidFill>
                  <a:sysClr val="windowText" lastClr="000000"/>
                </a:solidFill>
                <a:latin typeface="Arial" panose="020B0604020202020204" pitchFamily="34" charset="0"/>
                <a:cs typeface="Arial" panose="020B0604020202020204" pitchFamily="34" charset="0"/>
              </a:rPr>
              <a:t>Revenue by</a:t>
            </a:r>
            <a:r>
              <a:rPr lang="en-US" sz="1600" b="1" baseline="0">
                <a:solidFill>
                  <a:sysClr val="windowText" lastClr="000000"/>
                </a:solidFill>
                <a:latin typeface="Arial" panose="020B0604020202020204" pitchFamily="34" charset="0"/>
                <a:cs typeface="Arial" panose="020B0604020202020204" pitchFamily="34" charset="0"/>
              </a:rPr>
              <a:t> Store</a:t>
            </a:r>
            <a:endParaRPr lang="en-US" sz="1600" b="1">
              <a:solidFill>
                <a:sysClr val="windowText" lastClr="000000"/>
              </a:solidFill>
              <a:latin typeface="Arial" panose="020B0604020202020204" pitchFamily="34" charset="0"/>
              <a:cs typeface="Arial" panose="020B0604020202020204" pitchFamily="34" charset="0"/>
            </a:endParaRPr>
          </a:p>
        </c:rich>
      </c:tx>
      <c:layout>
        <c:manualLayout>
          <c:xMode val="edge"/>
          <c:yMode val="edge"/>
          <c:x val="0.45790162593312195"/>
          <c:y val="9.5038250870929444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Pivot2!$B$21</c:f>
              <c:strCache>
                <c:ptCount val="1"/>
                <c:pt idx="0">
                  <c:v>Total</c:v>
                </c:pt>
              </c:strCache>
            </c:strRef>
          </c:tx>
          <c:spPr>
            <a:solidFill>
              <a:schemeClr val="accent1">
                <a:lumMod val="75000"/>
              </a:schemeClr>
            </a:solidFill>
            <a:ln>
              <a:noFill/>
            </a:ln>
            <a:effectLst/>
          </c:spPr>
          <c:invertIfNegative val="0"/>
          <c:cat>
            <c:strRef>
              <c:f>Pivot2!$A$22:$A$26</c:f>
              <c:strCache>
                <c:ptCount val="4"/>
                <c:pt idx="0">
                  <c:v>Kosher Grocer</c:v>
                </c:pt>
                <c:pt idx="1">
                  <c:v>Fair Grocer</c:v>
                </c:pt>
                <c:pt idx="2">
                  <c:v>Rite Grocer</c:v>
                </c:pt>
                <c:pt idx="3">
                  <c:v>Gourmet Grocer</c:v>
                </c:pt>
              </c:strCache>
            </c:strRef>
          </c:cat>
          <c:val>
            <c:numRef>
              <c:f>Pivot2!$B$22:$B$26</c:f>
              <c:numCache>
                <c:formatCode>_("$"* #,##0.00_);_("$"* \(#,##0.00\);_("$"* "-"??_);_(@_)</c:formatCode>
                <c:ptCount val="4"/>
                <c:pt idx="0">
                  <c:v>14065763</c:v>
                </c:pt>
                <c:pt idx="1">
                  <c:v>13769681</c:v>
                </c:pt>
                <c:pt idx="2">
                  <c:v>13493482</c:v>
                </c:pt>
                <c:pt idx="3">
                  <c:v>13219917</c:v>
                </c:pt>
              </c:numCache>
            </c:numRef>
          </c:val>
          <c:extLst>
            <c:ext xmlns:c16="http://schemas.microsoft.com/office/drawing/2014/chart" uri="{C3380CC4-5D6E-409C-BE32-E72D297353CC}">
              <c16:uniqueId val="{00000000-44ED-4590-9A84-F894C4E731A9}"/>
            </c:ext>
          </c:extLst>
        </c:ser>
        <c:dLbls>
          <c:showLegendKey val="0"/>
          <c:showVal val="0"/>
          <c:showCatName val="0"/>
          <c:showSerName val="0"/>
          <c:showPercent val="0"/>
          <c:showBubbleSize val="0"/>
        </c:dLbls>
        <c:gapWidth val="182"/>
        <c:axId val="45882144"/>
        <c:axId val="45874944"/>
      </c:barChart>
      <c:catAx>
        <c:axId val="45882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5874944"/>
        <c:crosses val="autoZero"/>
        <c:auto val="1"/>
        <c:lblAlgn val="ctr"/>
        <c:lblOffset val="100"/>
        <c:noMultiLvlLbl val="0"/>
      </c:catAx>
      <c:valAx>
        <c:axId val="45874944"/>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5882144"/>
        <c:crosses val="autoZero"/>
        <c:crossBetween val="between"/>
      </c:valAx>
      <c:spPr>
        <a:noFill/>
        <a:ln>
          <a:solidFill>
            <a:schemeClr val="accent1">
              <a:lumMod val="40000"/>
              <a:lumOff val="6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accent1">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514350</xdr:colOff>
      <xdr:row>1</xdr:row>
      <xdr:rowOff>142875</xdr:rowOff>
    </xdr:from>
    <xdr:to>
      <xdr:col>10</xdr:col>
      <xdr:colOff>504064</xdr:colOff>
      <xdr:row>17</xdr:row>
      <xdr:rowOff>113923</xdr:rowOff>
    </xdr:to>
    <xdr:pic>
      <xdr:nvPicPr>
        <xdr:cNvPr id="2" name="Picture 1">
          <a:extLst>
            <a:ext uri="{FF2B5EF4-FFF2-40B4-BE49-F238E27FC236}">
              <a16:creationId xmlns:a16="http://schemas.microsoft.com/office/drawing/2014/main" id="{4B765D39-AF53-486F-8A06-EDE554EC2CAC}"/>
            </a:ext>
          </a:extLst>
        </xdr:cNvPr>
        <xdr:cNvPicPr>
          <a:picLocks noChangeAspect="1"/>
        </xdr:cNvPicPr>
      </xdr:nvPicPr>
      <xdr:blipFill>
        <a:blip xmlns:r="http://schemas.openxmlformats.org/officeDocument/2006/relationships" r:embed="rId1"/>
        <a:stretch>
          <a:fillRect/>
        </a:stretch>
      </xdr:blipFill>
      <xdr:spPr>
        <a:xfrm>
          <a:off x="514350" y="327025"/>
          <a:ext cx="6403214" cy="29174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181842</xdr:colOff>
      <xdr:row>3</xdr:row>
      <xdr:rowOff>167408</xdr:rowOff>
    </xdr:from>
    <xdr:to>
      <xdr:col>4</xdr:col>
      <xdr:colOff>202255</xdr:colOff>
      <xdr:row>14</xdr:row>
      <xdr:rowOff>121688</xdr:rowOff>
    </xdr:to>
    <xdr:graphicFrame macro="">
      <xdr:nvGraphicFramePr>
        <xdr:cNvPr id="10" name="Chart 9">
          <a:extLst>
            <a:ext uri="{FF2B5EF4-FFF2-40B4-BE49-F238E27FC236}">
              <a16:creationId xmlns:a16="http://schemas.microsoft.com/office/drawing/2014/main" id="{72F01F12-6B1A-9D80-5D18-FFB9191C65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227302</xdr:colOff>
      <xdr:row>17</xdr:row>
      <xdr:rowOff>196412</xdr:rowOff>
    </xdr:from>
    <xdr:to>
      <xdr:col>4</xdr:col>
      <xdr:colOff>251114</xdr:colOff>
      <xdr:row>29</xdr:row>
      <xdr:rowOff>131325</xdr:rowOff>
    </xdr:to>
    <xdr:graphicFrame macro="">
      <xdr:nvGraphicFramePr>
        <xdr:cNvPr id="14" name="Chart 13">
          <a:extLst>
            <a:ext uri="{FF2B5EF4-FFF2-40B4-BE49-F238E27FC236}">
              <a16:creationId xmlns:a16="http://schemas.microsoft.com/office/drawing/2014/main" id="{73F32BB0-A003-D5F3-F2AA-71EDDC517C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733762</xdr:colOff>
      <xdr:row>4</xdr:row>
      <xdr:rowOff>31268</xdr:rowOff>
    </xdr:from>
    <xdr:to>
      <xdr:col>11</xdr:col>
      <xdr:colOff>609995</xdr:colOff>
      <xdr:row>12</xdr:row>
      <xdr:rowOff>197522</xdr:rowOff>
    </xdr:to>
    <xdr:sp macro="" textlink="">
      <xdr:nvSpPr>
        <xdr:cNvPr id="3" name="Rectangle: Rounded Corners 2">
          <a:extLst>
            <a:ext uri="{FF2B5EF4-FFF2-40B4-BE49-F238E27FC236}">
              <a16:creationId xmlns:a16="http://schemas.microsoft.com/office/drawing/2014/main" id="{AA685950-BD37-726A-E1B3-421248395B4F}"/>
            </a:ext>
          </a:extLst>
        </xdr:cNvPr>
        <xdr:cNvSpPr/>
      </xdr:nvSpPr>
      <xdr:spPr>
        <a:xfrm>
          <a:off x="11655762" y="920268"/>
          <a:ext cx="3127433" cy="1791854"/>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0">
              <a:latin typeface="Arial" panose="020B0604020202020204" pitchFamily="34" charset="0"/>
              <a:ea typeface="Cambria" panose="02040503050406030204" pitchFamily="18" charset="0"/>
              <a:cs typeface="Arial" panose="020B0604020202020204" pitchFamily="34" charset="0"/>
            </a:rPr>
            <a:t> $54,548,843.00</a:t>
          </a:r>
        </a:p>
        <a:p>
          <a:pPr algn="ctr"/>
          <a:endParaRPr lang="en-US" sz="1400" b="0">
            <a:latin typeface="Arial" panose="020B0604020202020204" pitchFamily="34" charset="0"/>
            <a:ea typeface="Cambria" panose="02040503050406030204" pitchFamily="18" charset="0"/>
            <a:cs typeface="Arial" panose="020B0604020202020204" pitchFamily="34" charset="0"/>
          </a:endParaRPr>
        </a:p>
        <a:p>
          <a:pPr algn="ctr"/>
          <a:r>
            <a:rPr lang="en-US" sz="2800" b="0">
              <a:latin typeface="Arial" panose="020B0604020202020204" pitchFamily="34" charset="0"/>
              <a:ea typeface="Cambria" panose="02040503050406030204" pitchFamily="18" charset="0"/>
              <a:cs typeface="Arial" panose="020B0604020202020204" pitchFamily="34" charset="0"/>
            </a:rPr>
            <a:t>  Total Sales </a:t>
          </a:r>
        </a:p>
      </xdr:txBody>
    </xdr:sp>
    <xdr:clientData/>
  </xdr:twoCellAnchor>
  <xdr:twoCellAnchor>
    <xdr:from>
      <xdr:col>0</xdr:col>
      <xdr:colOff>460375</xdr:colOff>
      <xdr:row>4</xdr:row>
      <xdr:rowOff>47336</xdr:rowOff>
    </xdr:from>
    <xdr:to>
      <xdr:col>7</xdr:col>
      <xdr:colOff>323560</xdr:colOff>
      <xdr:row>13</xdr:row>
      <xdr:rowOff>10390</xdr:rowOff>
    </xdr:to>
    <xdr:sp macro="" textlink="">
      <xdr:nvSpPr>
        <xdr:cNvPr id="4" name="Rectangle: Rounded Corners 3">
          <a:extLst>
            <a:ext uri="{FF2B5EF4-FFF2-40B4-BE49-F238E27FC236}">
              <a16:creationId xmlns:a16="http://schemas.microsoft.com/office/drawing/2014/main" id="{08AF7BA8-CAA8-310C-B37E-9398A602D682}"/>
            </a:ext>
          </a:extLst>
        </xdr:cNvPr>
        <xdr:cNvSpPr/>
      </xdr:nvSpPr>
      <xdr:spPr>
        <a:xfrm>
          <a:off x="460375" y="952211"/>
          <a:ext cx="10753435" cy="1820429"/>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b="1">
              <a:latin typeface="Arial" panose="020B0604020202020204" pitchFamily="34" charset="0"/>
              <a:ea typeface="Cambria" panose="02040503050406030204" pitchFamily="18" charset="0"/>
              <a:cs typeface="Arial" panose="020B0604020202020204" pitchFamily="34" charset="0"/>
            </a:rPr>
            <a:t>Grocery Store Chain Sales Dasboard</a:t>
          </a:r>
        </a:p>
      </xdr:txBody>
    </xdr:sp>
    <xdr:clientData/>
  </xdr:twoCellAnchor>
  <xdr:twoCellAnchor>
    <xdr:from>
      <xdr:col>16</xdr:col>
      <xdr:colOff>466593</xdr:colOff>
      <xdr:row>4</xdr:row>
      <xdr:rowOff>15096</xdr:rowOff>
    </xdr:from>
    <xdr:to>
      <xdr:col>20</xdr:col>
      <xdr:colOff>342826</xdr:colOff>
      <xdr:row>12</xdr:row>
      <xdr:rowOff>181350</xdr:rowOff>
    </xdr:to>
    <xdr:sp macro="" textlink="">
      <xdr:nvSpPr>
        <xdr:cNvPr id="5" name="Rectangle: Rounded Corners 4">
          <a:extLst>
            <a:ext uri="{FF2B5EF4-FFF2-40B4-BE49-F238E27FC236}">
              <a16:creationId xmlns:a16="http://schemas.microsoft.com/office/drawing/2014/main" id="{A6953C6A-6CBD-7C69-E9FC-8EACBE242D75}"/>
            </a:ext>
          </a:extLst>
        </xdr:cNvPr>
        <xdr:cNvSpPr/>
      </xdr:nvSpPr>
      <xdr:spPr>
        <a:xfrm>
          <a:off x="18643468" y="919971"/>
          <a:ext cx="3114733" cy="1817254"/>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0">
              <a:solidFill>
                <a:schemeClr val="bg1"/>
              </a:solidFill>
              <a:latin typeface="Arial" panose="020B0604020202020204" pitchFamily="34" charset="0"/>
              <a:ea typeface="Cambria" panose="02040503050406030204" pitchFamily="18" charset="0"/>
              <a:cs typeface="Arial" panose="020B0604020202020204" pitchFamily="34" charset="0"/>
            </a:rPr>
            <a:t>48 </a:t>
          </a:r>
        </a:p>
        <a:p>
          <a:pPr algn="ctr"/>
          <a:endParaRPr lang="en-US" sz="1400" b="0">
            <a:solidFill>
              <a:schemeClr val="bg1"/>
            </a:solidFill>
            <a:latin typeface="Arial" panose="020B0604020202020204" pitchFamily="34" charset="0"/>
            <a:ea typeface="Cambria" panose="02040503050406030204" pitchFamily="18" charset="0"/>
            <a:cs typeface="Arial" panose="020B0604020202020204" pitchFamily="34" charset="0"/>
          </a:endParaRPr>
        </a:p>
        <a:p>
          <a:pPr algn="ctr"/>
          <a:r>
            <a:rPr lang="en-US" sz="2800" b="0">
              <a:solidFill>
                <a:schemeClr val="bg1"/>
              </a:solidFill>
              <a:latin typeface="Arial" panose="020B0604020202020204" pitchFamily="34" charset="0"/>
              <a:ea typeface="Cambria" panose="02040503050406030204" pitchFamily="18" charset="0"/>
              <a:cs typeface="Arial" panose="020B0604020202020204" pitchFamily="34" charset="0"/>
            </a:rPr>
            <a:t>Total Stores</a:t>
          </a:r>
        </a:p>
      </xdr:txBody>
    </xdr:sp>
    <xdr:clientData/>
  </xdr:twoCellAnchor>
  <xdr:twoCellAnchor>
    <xdr:from>
      <xdr:col>12</xdr:col>
      <xdr:colOff>193656</xdr:colOff>
      <xdr:row>4</xdr:row>
      <xdr:rowOff>28496</xdr:rowOff>
    </xdr:from>
    <xdr:to>
      <xdr:col>16</xdr:col>
      <xdr:colOff>69889</xdr:colOff>
      <xdr:row>12</xdr:row>
      <xdr:rowOff>194750</xdr:rowOff>
    </xdr:to>
    <xdr:sp macro="" textlink="Pivot2!C5">
      <xdr:nvSpPr>
        <xdr:cNvPr id="6" name="Rectangle: Rounded Corners 5">
          <a:extLst>
            <a:ext uri="{FF2B5EF4-FFF2-40B4-BE49-F238E27FC236}">
              <a16:creationId xmlns:a16="http://schemas.microsoft.com/office/drawing/2014/main" id="{22961ECC-FCB9-B2E8-082F-13FA6D1F616F}"/>
            </a:ext>
          </a:extLst>
        </xdr:cNvPr>
        <xdr:cNvSpPr/>
      </xdr:nvSpPr>
      <xdr:spPr>
        <a:xfrm>
          <a:off x="15132031" y="933371"/>
          <a:ext cx="3114733" cy="1817254"/>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890AD75-1023-4580-8A4B-C506B685B4A4}" type="TxLink">
            <a:rPr lang="en-US" sz="2800" b="0" i="0" u="none" strike="noStrike">
              <a:solidFill>
                <a:schemeClr val="bg1"/>
              </a:solidFill>
              <a:latin typeface="Arial" panose="020B0604020202020204" pitchFamily="34" charset="0"/>
              <a:ea typeface="Cambria" panose="02040503050406030204" pitchFamily="18" charset="0"/>
              <a:cs typeface="Arial" panose="020B0604020202020204" pitchFamily="34" charset="0"/>
            </a:rPr>
            <a:pPr algn="ctr"/>
            <a:t>4</a:t>
          </a:fld>
          <a:endParaRPr lang="en-US" sz="2800" b="0" i="0" u="none" strike="noStrike">
            <a:solidFill>
              <a:schemeClr val="bg1"/>
            </a:solidFill>
            <a:latin typeface="Arial" panose="020B0604020202020204" pitchFamily="34" charset="0"/>
            <a:ea typeface="Cambria" panose="02040503050406030204" pitchFamily="18" charset="0"/>
            <a:cs typeface="Arial" panose="020B0604020202020204" pitchFamily="34" charset="0"/>
          </a:endParaRPr>
        </a:p>
        <a:p>
          <a:pPr algn="ctr"/>
          <a:endParaRPr lang="en-US" sz="1400" b="1" i="0" u="none" strike="noStrike">
            <a:solidFill>
              <a:schemeClr val="bg1"/>
            </a:solidFill>
            <a:latin typeface="Arial" panose="020B0604020202020204" pitchFamily="34" charset="0"/>
            <a:ea typeface="Cambria" panose="02040503050406030204" pitchFamily="18" charset="0"/>
            <a:cs typeface="Arial" panose="020B0604020202020204" pitchFamily="34" charset="0"/>
          </a:endParaRPr>
        </a:p>
        <a:p>
          <a:pPr algn="ctr"/>
          <a:r>
            <a:rPr lang="en-US" sz="2800" b="0" i="0" u="none" strike="noStrike">
              <a:solidFill>
                <a:schemeClr val="bg1"/>
              </a:solidFill>
              <a:latin typeface="Arial" panose="020B0604020202020204" pitchFamily="34" charset="0"/>
              <a:ea typeface="Cambria" panose="02040503050406030204" pitchFamily="18" charset="0"/>
              <a:cs typeface="Arial" panose="020B0604020202020204" pitchFamily="34" charset="0"/>
            </a:rPr>
            <a:t>Total Regions</a:t>
          </a:r>
          <a:endParaRPr lang="en-US" sz="2800" b="0">
            <a:solidFill>
              <a:schemeClr val="bg1"/>
            </a:solidFill>
            <a:latin typeface="Arial" panose="020B0604020202020204" pitchFamily="34" charset="0"/>
            <a:ea typeface="Cambria" panose="02040503050406030204" pitchFamily="18" charset="0"/>
            <a:cs typeface="Arial" panose="020B0604020202020204" pitchFamily="34" charset="0"/>
          </a:endParaRPr>
        </a:p>
      </xdr:txBody>
    </xdr:sp>
    <xdr:clientData/>
  </xdr:twoCellAnchor>
  <xdr:twoCellAnchor>
    <xdr:from>
      <xdr:col>0</xdr:col>
      <xdr:colOff>3660404</xdr:colOff>
      <xdr:row>16</xdr:row>
      <xdr:rowOff>150009</xdr:rowOff>
    </xdr:from>
    <xdr:to>
      <xdr:col>5</xdr:col>
      <xdr:colOff>764804</xdr:colOff>
      <xdr:row>41</xdr:row>
      <xdr:rowOff>7768</xdr:rowOff>
    </xdr:to>
    <xdr:graphicFrame macro="">
      <xdr:nvGraphicFramePr>
        <xdr:cNvPr id="7" name="Chart 6">
          <a:extLst>
            <a:ext uri="{FF2B5EF4-FFF2-40B4-BE49-F238E27FC236}">
              <a16:creationId xmlns:a16="http://schemas.microsoft.com/office/drawing/2014/main" id="{6F522E27-ABEF-44B6-9E69-2C1779EF67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548235</xdr:colOff>
      <xdr:row>16</xdr:row>
      <xdr:rowOff>187619</xdr:rowOff>
    </xdr:from>
    <xdr:to>
      <xdr:col>20</xdr:col>
      <xdr:colOff>91035</xdr:colOff>
      <xdr:row>41</xdr:row>
      <xdr:rowOff>45378</xdr:rowOff>
    </xdr:to>
    <xdr:graphicFrame macro="">
      <xdr:nvGraphicFramePr>
        <xdr:cNvPr id="8" name="Chart 7">
          <a:extLst>
            <a:ext uri="{FF2B5EF4-FFF2-40B4-BE49-F238E27FC236}">
              <a16:creationId xmlns:a16="http://schemas.microsoft.com/office/drawing/2014/main" id="{0F8696C3-469F-443C-A6D0-E5E6230A0F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7</xdr:col>
      <xdr:colOff>666750</xdr:colOff>
      <xdr:row>16</xdr:row>
      <xdr:rowOff>61853</xdr:rowOff>
    </xdr:from>
    <xdr:to>
      <xdr:col>10</xdr:col>
      <xdr:colOff>662601</xdr:colOff>
      <xdr:row>42</xdr:row>
      <xdr:rowOff>76340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FD661917-CBB3-FEC1-B520-E9B4E8B593D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557000" y="3443228"/>
              <a:ext cx="2424726" cy="53802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547393</xdr:colOff>
      <xdr:row>17</xdr:row>
      <xdr:rowOff>60911</xdr:rowOff>
    </xdr:from>
    <xdr:to>
      <xdr:col>0</xdr:col>
      <xdr:colOff>3186961</xdr:colOff>
      <xdr:row>41</xdr:row>
      <xdr:rowOff>18013</xdr:rowOff>
    </xdr:to>
    <mc:AlternateContent xmlns:mc="http://schemas.openxmlformats.org/markup-compatibility/2006" xmlns:a14="http://schemas.microsoft.com/office/drawing/2010/main">
      <mc:Choice Requires="a14">
        <xdr:graphicFrame macro="">
          <xdr:nvGraphicFramePr>
            <xdr:cNvPr id="10" name="Report_Date">
              <a:extLst>
                <a:ext uri="{FF2B5EF4-FFF2-40B4-BE49-F238E27FC236}">
                  <a16:creationId xmlns:a16="http://schemas.microsoft.com/office/drawing/2014/main" id="{71BA076D-6BDB-B3F0-7412-AC28A9C3917F}"/>
                </a:ext>
              </a:extLst>
            </xdr:cNvPr>
            <xdr:cNvGraphicFramePr/>
          </xdr:nvGraphicFramePr>
          <xdr:xfrm>
            <a:off x="0" y="0"/>
            <a:ext cx="0" cy="0"/>
          </xdr:xfrm>
          <a:graphic>
            <a:graphicData uri="http://schemas.microsoft.com/office/drawing/2010/slicer">
              <sle:slicer xmlns:sle="http://schemas.microsoft.com/office/drawing/2010/slicer" name="Report_Date"/>
            </a:graphicData>
          </a:graphic>
        </xdr:graphicFrame>
      </mc:Choice>
      <mc:Fallback xmlns="">
        <xdr:sp macro="" textlink="">
          <xdr:nvSpPr>
            <xdr:cNvPr id="0" name=""/>
            <xdr:cNvSpPr>
              <a:spLocks noTextEdit="1"/>
            </xdr:cNvSpPr>
          </xdr:nvSpPr>
          <xdr:spPr>
            <a:xfrm>
              <a:off x="547393" y="3648661"/>
              <a:ext cx="2639568" cy="49101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olumes\LaCie\Excel%25202016%2520Outlines\Excel%2520Day%25203%2520Workfile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learnitanywhere-my.sharepoint.com/Users/Karim/Documents/Book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lassroom.lan\Share\Users\Karim\AppData\Local\Temp\Temp1_CondFormat01.zip\CondFormat0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lassroom.lan\Share\Users\04-02.CLASSROOM.000\Desktop\Excel%20Power%20User%20Course\Retrieving%20Data%20-%20Complet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base Func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1"/>
      <sheetName val="In List"/>
      <sheetName val="LotteryTable"/>
      <sheetName val="LotteryList"/>
    </sheetNames>
    <sheetDataSet>
      <sheetData sheetId="0" refreshError="1"/>
      <sheetData sheetId="1" refreshError="1"/>
      <sheetData sheetId="2" refreshError="1"/>
      <sheetData sheetId="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ro"/>
      <sheetName val="Same Cell"/>
      <sheetName val="Same Cell Ref"/>
      <sheetName val="MultiCell"/>
      <sheetName val="Errors"/>
      <sheetName val="MissingText"/>
      <sheetName val="Hide Dups"/>
      <sheetName val="In List"/>
      <sheetName val="Lottery"/>
      <sheetName val="LotteryTable"/>
      <sheetName val="LotteryList"/>
      <sheetName val="Duplicates"/>
      <sheetName val="DupRules"/>
      <sheetName val="DupRows"/>
      <sheetName val="Expiry"/>
      <sheetName val="Expired"/>
      <sheetName val="Temperature"/>
      <sheetName val="Printing"/>
      <sheetName val="2Cond"/>
      <sheetName val="Shade Alt"/>
      <sheetName val="Shade Band"/>
      <sheetName val="Shade Band Flex"/>
      <sheetName val="Shade Filtered"/>
      <sheetName val="Color Shapes"/>
      <sheetName val="ColorIcons"/>
      <sheetName val="ColorIconsNum"/>
      <sheetName val="Strikethrough"/>
      <sheetName val="MyLinks"/>
      <sheetName val="CondFormat01"/>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LOOKUP"/>
      <sheetName val="Products"/>
      <sheetName val="Index Match"/>
      <sheetName val="Payroll"/>
      <sheetName val="Examine Functions"/>
    </sheetNames>
    <sheetDataSet>
      <sheetData sheetId="0"/>
      <sheetData sheetId="1"/>
      <sheetData sheetId="2"/>
      <sheetData sheetId="3"/>
      <sheetData sheetId="4"/>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157.911798611109" createdVersion="8" refreshedVersion="8" minRefreshableVersion="3" recordCount="48" xr:uid="{4399CF36-CF97-4727-BFFE-CAA1F8046A7A}">
  <cacheSource type="worksheet">
    <worksheetSource name="Table4"/>
  </cacheSource>
  <cacheFields count="6">
    <cacheField name="Store Name" numFmtId="0">
      <sharedItems count="4">
        <s v="Kosher Grocer"/>
        <s v="Rite Grocer"/>
        <s v="Gourmet Grocer"/>
        <s v="Fair Grocer"/>
      </sharedItems>
    </cacheField>
    <cacheField name="Region" numFmtId="0">
      <sharedItems count="4">
        <s v="Uptown"/>
        <s v="Midtown"/>
        <s v="Downtown"/>
        <s v="Suburb"/>
      </sharedItems>
    </cacheField>
    <cacheField name="Report_Date" numFmtId="14">
      <sharedItems containsSemiMixedTypes="0" containsNonDate="0" containsDate="1" containsString="0" minDate="2021-03-31T00:00:00" maxDate="2021-10-01T00:00:00" count="3">
        <d v="2021-03-31T00:00:00"/>
        <d v="2021-06-30T00:00:00"/>
        <d v="2021-09-30T00:00:00"/>
      </sharedItems>
      <fieldGroup par="5"/>
    </cacheField>
    <cacheField name="Reported_Sales" numFmtId="164">
      <sharedItems containsSemiMixedTypes="0" containsString="0" containsNumber="1" containsInteger="1" minValue="856208" maxValue="1499269" count="48">
        <n v="1242677"/>
        <n v="921439"/>
        <n v="1349854"/>
        <n v="1104078"/>
        <n v="856808"/>
        <n v="1449931"/>
        <n v="906792"/>
        <n v="945886"/>
        <n v="1309137"/>
        <n v="1216894"/>
        <n v="1331072"/>
        <n v="1431195"/>
        <n v="907526"/>
        <n v="1191364"/>
        <n v="1227391"/>
        <n v="1332342"/>
        <n v="1269010"/>
        <n v="994590"/>
        <n v="894997"/>
        <n v="904338"/>
        <n v="962731"/>
        <n v="953786"/>
        <n v="1419314"/>
        <n v="1436093"/>
        <n v="1068137"/>
        <n v="1250695"/>
        <n v="898949"/>
        <n v="1213455"/>
        <n v="1164510"/>
        <n v="1163870"/>
        <n v="906880"/>
        <n v="894539"/>
        <n v="913945"/>
        <n v="1440870"/>
        <n v="1280710"/>
        <n v="1023357"/>
        <n v="1499269"/>
        <n v="970517"/>
        <n v="1141777"/>
        <n v="856208"/>
        <n v="1064145"/>
        <n v="955424"/>
        <n v="903006"/>
        <n v="1420494"/>
        <n v="1267870"/>
        <n v="1013266"/>
        <n v="1416121"/>
        <n v="1261584"/>
      </sharedItems>
    </cacheField>
    <cacheField name="Days (Report_Date)" numFmtId="0" databaseField="0">
      <fieldGroup base="2">
        <rangePr groupBy="days" startDate="2021-03-31T00:00:00" endDate="2021-10-01T00:00:00"/>
        <groupItems count="368">
          <s v="&lt;3/31/2021"/>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0/1/2021"/>
        </groupItems>
      </fieldGroup>
    </cacheField>
    <cacheField name="Months (Report_Date)" numFmtId="0" databaseField="0">
      <fieldGroup base="2">
        <rangePr groupBy="months" startDate="2021-03-31T00:00:00" endDate="2021-10-01T00:00:00"/>
        <groupItems count="14">
          <s v="&lt;3/31/2021"/>
          <s v="Jan"/>
          <s v="Feb"/>
          <s v="Mar"/>
          <s v="Apr"/>
          <s v="May"/>
          <s v="Jun"/>
          <s v="Jul"/>
          <s v="Aug"/>
          <s v="Sep"/>
          <s v="Oct"/>
          <s v="Nov"/>
          <s v="Dec"/>
          <s v="&gt;10/1/2021"/>
        </groupItems>
      </fieldGroup>
    </cacheField>
  </cacheFields>
  <extLst>
    <ext xmlns:x14="http://schemas.microsoft.com/office/spreadsheetml/2009/9/main" uri="{725AE2AE-9491-48be-B2B4-4EB974FC3084}">
      <x14:pivotCacheDefinition pivotCacheId="17742460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x v="0"/>
    <x v="0"/>
    <x v="0"/>
  </r>
  <r>
    <x v="0"/>
    <x v="1"/>
    <x v="0"/>
    <x v="1"/>
  </r>
  <r>
    <x v="0"/>
    <x v="2"/>
    <x v="0"/>
    <x v="2"/>
  </r>
  <r>
    <x v="0"/>
    <x v="3"/>
    <x v="0"/>
    <x v="3"/>
  </r>
  <r>
    <x v="0"/>
    <x v="0"/>
    <x v="1"/>
    <x v="4"/>
  </r>
  <r>
    <x v="0"/>
    <x v="1"/>
    <x v="1"/>
    <x v="5"/>
  </r>
  <r>
    <x v="0"/>
    <x v="2"/>
    <x v="1"/>
    <x v="6"/>
  </r>
  <r>
    <x v="0"/>
    <x v="3"/>
    <x v="1"/>
    <x v="7"/>
  </r>
  <r>
    <x v="0"/>
    <x v="0"/>
    <x v="2"/>
    <x v="8"/>
  </r>
  <r>
    <x v="0"/>
    <x v="1"/>
    <x v="2"/>
    <x v="9"/>
  </r>
  <r>
    <x v="0"/>
    <x v="2"/>
    <x v="2"/>
    <x v="10"/>
  </r>
  <r>
    <x v="0"/>
    <x v="3"/>
    <x v="2"/>
    <x v="11"/>
  </r>
  <r>
    <x v="1"/>
    <x v="0"/>
    <x v="0"/>
    <x v="12"/>
  </r>
  <r>
    <x v="1"/>
    <x v="1"/>
    <x v="0"/>
    <x v="13"/>
  </r>
  <r>
    <x v="1"/>
    <x v="2"/>
    <x v="0"/>
    <x v="14"/>
  </r>
  <r>
    <x v="1"/>
    <x v="3"/>
    <x v="0"/>
    <x v="15"/>
  </r>
  <r>
    <x v="1"/>
    <x v="0"/>
    <x v="1"/>
    <x v="16"/>
  </r>
  <r>
    <x v="1"/>
    <x v="1"/>
    <x v="1"/>
    <x v="17"/>
  </r>
  <r>
    <x v="1"/>
    <x v="2"/>
    <x v="1"/>
    <x v="18"/>
  </r>
  <r>
    <x v="1"/>
    <x v="3"/>
    <x v="1"/>
    <x v="19"/>
  </r>
  <r>
    <x v="1"/>
    <x v="0"/>
    <x v="2"/>
    <x v="20"/>
  </r>
  <r>
    <x v="1"/>
    <x v="1"/>
    <x v="2"/>
    <x v="21"/>
  </r>
  <r>
    <x v="1"/>
    <x v="2"/>
    <x v="2"/>
    <x v="22"/>
  </r>
  <r>
    <x v="1"/>
    <x v="3"/>
    <x v="2"/>
    <x v="23"/>
  </r>
  <r>
    <x v="2"/>
    <x v="0"/>
    <x v="0"/>
    <x v="24"/>
  </r>
  <r>
    <x v="2"/>
    <x v="1"/>
    <x v="0"/>
    <x v="25"/>
  </r>
  <r>
    <x v="2"/>
    <x v="2"/>
    <x v="0"/>
    <x v="26"/>
  </r>
  <r>
    <x v="2"/>
    <x v="3"/>
    <x v="0"/>
    <x v="27"/>
  </r>
  <r>
    <x v="2"/>
    <x v="0"/>
    <x v="1"/>
    <x v="28"/>
  </r>
  <r>
    <x v="2"/>
    <x v="1"/>
    <x v="1"/>
    <x v="29"/>
  </r>
  <r>
    <x v="2"/>
    <x v="2"/>
    <x v="1"/>
    <x v="30"/>
  </r>
  <r>
    <x v="2"/>
    <x v="3"/>
    <x v="1"/>
    <x v="31"/>
  </r>
  <r>
    <x v="2"/>
    <x v="0"/>
    <x v="2"/>
    <x v="32"/>
  </r>
  <r>
    <x v="2"/>
    <x v="1"/>
    <x v="2"/>
    <x v="33"/>
  </r>
  <r>
    <x v="2"/>
    <x v="2"/>
    <x v="2"/>
    <x v="34"/>
  </r>
  <r>
    <x v="2"/>
    <x v="3"/>
    <x v="2"/>
    <x v="35"/>
  </r>
  <r>
    <x v="3"/>
    <x v="0"/>
    <x v="0"/>
    <x v="36"/>
  </r>
  <r>
    <x v="3"/>
    <x v="1"/>
    <x v="0"/>
    <x v="37"/>
  </r>
  <r>
    <x v="3"/>
    <x v="2"/>
    <x v="0"/>
    <x v="38"/>
  </r>
  <r>
    <x v="3"/>
    <x v="3"/>
    <x v="0"/>
    <x v="39"/>
  </r>
  <r>
    <x v="3"/>
    <x v="0"/>
    <x v="1"/>
    <x v="40"/>
  </r>
  <r>
    <x v="3"/>
    <x v="1"/>
    <x v="1"/>
    <x v="41"/>
  </r>
  <r>
    <x v="3"/>
    <x v="2"/>
    <x v="1"/>
    <x v="42"/>
  </r>
  <r>
    <x v="3"/>
    <x v="3"/>
    <x v="1"/>
    <x v="43"/>
  </r>
  <r>
    <x v="3"/>
    <x v="0"/>
    <x v="2"/>
    <x v="44"/>
  </r>
  <r>
    <x v="3"/>
    <x v="1"/>
    <x v="2"/>
    <x v="45"/>
  </r>
  <r>
    <x v="3"/>
    <x v="2"/>
    <x v="2"/>
    <x v="46"/>
  </r>
  <r>
    <x v="3"/>
    <x v="3"/>
    <x v="2"/>
    <x v="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1DCC0A-B3DD-4037-93BE-D0B9B973731E}" name="pt_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7:B12" firstHeaderRow="1" firstDataRow="1" firstDataCol="1" rowPageCount="1" colPageCount="1"/>
  <pivotFields count="6">
    <pivotField axis="axisPage" multipleItemSelectionAllowed="1" showAll="0" sortType="descending">
      <items count="5">
        <item x="1"/>
        <item x="0"/>
        <item x="2"/>
        <item x="3"/>
        <item t="default"/>
      </items>
    </pivotField>
    <pivotField axis="axisRow" showAll="0" sortType="descending">
      <items count="5">
        <item x="2"/>
        <item x="1"/>
        <item x="3"/>
        <item x="0"/>
        <item t="default"/>
      </items>
      <autoSortScope>
        <pivotArea dataOnly="0" outline="0" fieldPosition="0">
          <references count="1">
            <reference field="4294967294" count="1" selected="0">
              <x v="0"/>
            </reference>
          </references>
        </pivotArea>
      </autoSortScope>
    </pivotField>
    <pivotField numFmtId="14" showAll="0">
      <items count="4">
        <item x="0"/>
        <item x="1"/>
        <item x="2"/>
        <item t="default"/>
      </items>
    </pivotField>
    <pivotField dataField="1" numFmtId="164" showAll="0">
      <items count="49">
        <item h="1" x="39"/>
        <item h="1" x="4"/>
        <item h="1" x="31"/>
        <item h="1" x="18"/>
        <item x="26"/>
        <item h="1" x="42"/>
        <item h="1" x="19"/>
        <item h="1" x="6"/>
        <item h="1" x="30"/>
        <item h="1" x="12"/>
        <item h="1" x="32"/>
        <item h="1" x="1"/>
        <item h="1" x="7"/>
        <item h="1" x="21"/>
        <item h="1" x="41"/>
        <item h="1" x="20"/>
        <item h="1" x="37"/>
        <item h="1" x="17"/>
        <item h="1" x="45"/>
        <item h="1" x="35"/>
        <item h="1" x="40"/>
        <item h="1" x="24"/>
        <item h="1" x="3"/>
        <item h="1" x="38"/>
        <item h="1" x="29"/>
        <item h="1" x="28"/>
        <item h="1" x="13"/>
        <item h="1" x="27"/>
        <item h="1" x="9"/>
        <item h="1" x="14"/>
        <item h="1" x="0"/>
        <item h="1" x="25"/>
        <item h="1" x="47"/>
        <item h="1" x="44"/>
        <item h="1" x="16"/>
        <item h="1" x="34"/>
        <item h="1" x="8"/>
        <item h="1" x="10"/>
        <item h="1" x="15"/>
        <item h="1" x="2"/>
        <item h="1" x="46"/>
        <item h="1" x="22"/>
        <item h="1" x="43"/>
        <item h="1" x="11"/>
        <item h="1" x="23"/>
        <item h="1" x="33"/>
        <item h="1" x="5"/>
        <item h="1" x="36"/>
        <item t="default"/>
      </items>
    </pivotField>
    <pivotField showAll="0">
      <items count="369">
        <item h="1" sd="0" x="0"/>
        <item h="1" sd="0" x="1"/>
        <item h="1" sd="0" x="2"/>
        <item h="1" sd="0" x="3"/>
        <item h="1" sd="0" x="4"/>
        <item h="1" sd="0" x="5"/>
        <item h="1" sd="0" x="6"/>
        <item h="1" sd="0" x="7"/>
        <item h="1" sd="0" x="8"/>
        <item h="1" sd="0" x="9"/>
        <item h="1" sd="0" x="10"/>
        <item h="1" sd="0" x="11"/>
        <item h="1" sd="0" x="12"/>
        <item h="1" sd="0" x="13"/>
        <item h="1" sd="0" x="14"/>
        <item h="1" sd="0" x="15"/>
        <item h="1" sd="0" x="16"/>
        <item h="1" sd="0" x="17"/>
        <item h="1" sd="0" x="18"/>
        <item h="1" sd="0" x="19"/>
        <item h="1" sd="0" x="20"/>
        <item h="1" sd="0" x="21"/>
        <item h="1" sd="0" x="22"/>
        <item h="1" sd="0" x="23"/>
        <item h="1" sd="0" x="24"/>
        <item h="1" sd="0" x="25"/>
        <item h="1" sd="0" x="26"/>
        <item h="1" sd="0" x="27"/>
        <item h="1" sd="0" x="28"/>
        <item h="1" sd="0" x="29"/>
        <item h="1" sd="0" x="30"/>
        <item h="1" sd="0" x="31"/>
        <item h="1" sd="0" x="32"/>
        <item h="1" sd="0" x="33"/>
        <item h="1" sd="0" x="34"/>
        <item h="1" sd="0" x="35"/>
        <item h="1" sd="0" x="36"/>
        <item h="1" sd="0" x="37"/>
        <item h="1" sd="0" x="38"/>
        <item h="1" sd="0" x="39"/>
        <item h="1" sd="0" x="40"/>
        <item h="1" sd="0" x="41"/>
        <item h="1" sd="0" x="42"/>
        <item h="1" sd="0" x="43"/>
        <item h="1" sd="0" x="44"/>
        <item h="1" sd="0" x="45"/>
        <item h="1" sd="0" x="46"/>
        <item h="1" sd="0" x="47"/>
        <item h="1" sd="0" x="48"/>
        <item h="1" sd="0" x="49"/>
        <item h="1" sd="0" x="50"/>
        <item h="1" sd="0" x="51"/>
        <item h="1" sd="0" x="52"/>
        <item h="1" sd="0" x="53"/>
        <item h="1" sd="0" x="54"/>
        <item h="1" sd="0" x="55"/>
        <item h="1" sd="0" x="56"/>
        <item h="1" sd="0" x="57"/>
        <item h="1" sd="0" x="58"/>
        <item h="1" sd="0" x="59"/>
        <item h="1" sd="0" x="60"/>
        <item h="1" sd="0" x="61"/>
        <item h="1" sd="0" x="62"/>
        <item h="1" sd="0" x="63"/>
        <item h="1" sd="0" x="64"/>
        <item h="1" sd="0" x="65"/>
        <item h="1" sd="0" x="66"/>
        <item h="1" sd="0" x="67"/>
        <item h="1" sd="0" x="68"/>
        <item h="1" sd="0" x="69"/>
        <item h="1" sd="0" x="70"/>
        <item h="1" sd="0" x="71"/>
        <item h="1" sd="0" x="72"/>
        <item h="1" sd="0" x="73"/>
        <item h="1" sd="0" x="74"/>
        <item h="1" sd="0" x="75"/>
        <item h="1" sd="0" x="76"/>
        <item h="1" sd="0" x="77"/>
        <item h="1" sd="0" x="78"/>
        <item h="1" sd="0" x="79"/>
        <item h="1" sd="0" x="80"/>
        <item h="1" sd="0" x="81"/>
        <item h="1" sd="0" x="82"/>
        <item h="1" sd="0" x="83"/>
        <item h="1" sd="0" x="84"/>
        <item h="1" sd="0" x="85"/>
        <item h="1" sd="0" x="86"/>
        <item h="1" sd="0" x="87"/>
        <item h="1" sd="0" x="88"/>
        <item h="1" sd="0" x="89"/>
        <item h="1" sd="0" x="90"/>
        <item sd="0" x="91"/>
        <item h="1" sd="0" x="92"/>
        <item h="1" sd="0" x="93"/>
        <item h="1" sd="0" x="94"/>
        <item h="1" sd="0" x="95"/>
        <item h="1" sd="0" x="96"/>
        <item h="1" sd="0" x="97"/>
        <item h="1" sd="0" x="98"/>
        <item h="1" sd="0" x="99"/>
        <item h="1" sd="0" x="100"/>
        <item h="1" sd="0" x="101"/>
        <item h="1" sd="0" x="102"/>
        <item h="1" sd="0" x="103"/>
        <item h="1" sd="0" x="104"/>
        <item h="1" sd="0" x="105"/>
        <item h="1" sd="0" x="106"/>
        <item h="1" sd="0" x="107"/>
        <item h="1" sd="0" x="108"/>
        <item h="1" sd="0" x="109"/>
        <item h="1" sd="0" x="110"/>
        <item h="1" sd="0" x="111"/>
        <item h="1" sd="0" x="112"/>
        <item h="1" sd="0" x="113"/>
        <item h="1" sd="0" x="114"/>
        <item h="1" sd="0" x="115"/>
        <item h="1" sd="0" x="116"/>
        <item h="1" sd="0" x="117"/>
        <item h="1" sd="0" x="118"/>
        <item h="1" sd="0" x="119"/>
        <item h="1" sd="0" x="120"/>
        <item h="1" sd="0" x="121"/>
        <item h="1" sd="0" x="122"/>
        <item h="1" sd="0" x="123"/>
        <item h="1" sd="0" x="124"/>
        <item h="1" sd="0" x="125"/>
        <item h="1" sd="0" x="126"/>
        <item h="1" sd="0" x="127"/>
        <item h="1" sd="0" x="128"/>
        <item h="1" sd="0" x="129"/>
        <item h="1" sd="0" x="130"/>
        <item h="1" sd="0" x="131"/>
        <item h="1" sd="0" x="132"/>
        <item h="1" sd="0" x="133"/>
        <item h="1" sd="0" x="134"/>
        <item h="1" sd="0" x="135"/>
        <item h="1" sd="0" x="136"/>
        <item h="1" sd="0" x="137"/>
        <item h="1" sd="0" x="138"/>
        <item h="1" sd="0" x="139"/>
        <item h="1" sd="0" x="140"/>
        <item h="1" sd="0" x="141"/>
        <item h="1" sd="0" x="142"/>
        <item h="1" sd="0" x="143"/>
        <item h="1" sd="0" x="144"/>
        <item h="1" sd="0" x="145"/>
        <item h="1" sd="0" x="146"/>
        <item h="1" sd="0" x="147"/>
        <item h="1" sd="0" x="148"/>
        <item h="1" sd="0" x="149"/>
        <item h="1" sd="0" x="150"/>
        <item h="1" sd="0" x="151"/>
        <item h="1" sd="0" x="152"/>
        <item h="1" sd="0" x="153"/>
        <item h="1" sd="0" x="154"/>
        <item h="1" sd="0" x="155"/>
        <item h="1" sd="0" x="156"/>
        <item h="1" sd="0" x="157"/>
        <item h="1" sd="0" x="158"/>
        <item h="1" sd="0" x="159"/>
        <item h="1" sd="0" x="160"/>
        <item h="1" sd="0" x="161"/>
        <item h="1" sd="0" x="162"/>
        <item h="1" sd="0" x="163"/>
        <item h="1" sd="0" x="164"/>
        <item h="1" sd="0" x="165"/>
        <item h="1" sd="0" x="166"/>
        <item h="1" sd="0" x="167"/>
        <item h="1" sd="0" x="168"/>
        <item h="1" sd="0" x="169"/>
        <item h="1" sd="0" x="170"/>
        <item h="1" sd="0" x="171"/>
        <item h="1" sd="0" x="172"/>
        <item h="1" sd="0" x="173"/>
        <item h="1" sd="0" x="174"/>
        <item h="1" sd="0" x="175"/>
        <item h="1" sd="0" x="176"/>
        <item h="1" sd="0" x="177"/>
        <item h="1" sd="0" x="178"/>
        <item h="1" sd="0" x="179"/>
        <item h="1" sd="0" x="180"/>
        <item h="1" sd="0" x="181"/>
        <item h="1" sd="0" x="182"/>
        <item h="1" sd="0" x="183"/>
        <item h="1" sd="0" x="184"/>
        <item h="1" sd="0" x="185"/>
        <item h="1" sd="0" x="186"/>
        <item h="1" sd="0" x="187"/>
        <item h="1" sd="0" x="188"/>
        <item h="1" sd="0" x="189"/>
        <item h="1" sd="0" x="190"/>
        <item h="1" sd="0" x="191"/>
        <item h="1" sd="0" x="192"/>
        <item h="1" sd="0" x="193"/>
        <item h="1" sd="0" x="194"/>
        <item h="1" sd="0" x="195"/>
        <item h="1" sd="0" x="196"/>
        <item h="1" sd="0" x="197"/>
        <item h="1" sd="0" x="198"/>
        <item h="1" sd="0" x="199"/>
        <item h="1" sd="0" x="200"/>
        <item h="1" sd="0" x="201"/>
        <item h="1" sd="0" x="202"/>
        <item h="1" sd="0" x="203"/>
        <item h="1" sd="0" x="204"/>
        <item h="1" sd="0" x="205"/>
        <item h="1" sd="0" x="206"/>
        <item h="1" sd="0" x="207"/>
        <item h="1" sd="0" x="208"/>
        <item h="1" sd="0" x="209"/>
        <item h="1" sd="0" x="210"/>
        <item h="1" sd="0" x="211"/>
        <item h="1" sd="0" x="212"/>
        <item h="1" sd="0" x="213"/>
        <item h="1" sd="0" x="214"/>
        <item h="1" sd="0" x="215"/>
        <item h="1" sd="0" x="216"/>
        <item h="1" sd="0" x="217"/>
        <item h="1" sd="0" x="218"/>
        <item h="1" sd="0" x="219"/>
        <item h="1" sd="0" x="220"/>
        <item h="1" sd="0" x="221"/>
        <item h="1" sd="0" x="222"/>
        <item h="1" sd="0" x="223"/>
        <item h="1" sd="0" x="224"/>
        <item h="1" sd="0" x="225"/>
        <item h="1" sd="0" x="226"/>
        <item h="1" sd="0" x="227"/>
        <item h="1" sd="0" x="228"/>
        <item h="1" sd="0" x="229"/>
        <item h="1" sd="0" x="230"/>
        <item h="1" sd="0" x="231"/>
        <item h="1" sd="0" x="232"/>
        <item h="1" sd="0" x="233"/>
        <item h="1" sd="0" x="234"/>
        <item h="1" sd="0" x="235"/>
        <item h="1" sd="0" x="236"/>
        <item h="1" sd="0" x="237"/>
        <item h="1" sd="0" x="238"/>
        <item h="1" sd="0" x="239"/>
        <item h="1" sd="0" x="240"/>
        <item h="1" sd="0" x="241"/>
        <item h="1" sd="0" x="242"/>
        <item h="1" sd="0" x="243"/>
        <item h="1" sd="0" x="244"/>
        <item h="1" sd="0" x="245"/>
        <item h="1" sd="0" x="246"/>
        <item h="1" sd="0" x="247"/>
        <item h="1" sd="0" x="248"/>
        <item h="1" sd="0" x="249"/>
        <item h="1" sd="0" x="250"/>
        <item h="1" sd="0" x="251"/>
        <item h="1" sd="0" x="252"/>
        <item h="1" sd="0" x="253"/>
        <item h="1" sd="0" x="254"/>
        <item h="1" sd="0" x="255"/>
        <item h="1" sd="0" x="256"/>
        <item h="1" sd="0" x="257"/>
        <item h="1" sd="0" x="258"/>
        <item h="1" sd="0" x="259"/>
        <item h="1" sd="0" x="260"/>
        <item h="1" sd="0" x="261"/>
        <item h="1" sd="0" x="262"/>
        <item h="1" sd="0" x="263"/>
        <item h="1" sd="0" x="264"/>
        <item h="1" sd="0" x="265"/>
        <item h="1" sd="0" x="266"/>
        <item h="1" sd="0" x="267"/>
        <item h="1" sd="0" x="268"/>
        <item h="1" sd="0" x="269"/>
        <item h="1" sd="0" x="270"/>
        <item h="1" sd="0" x="271"/>
        <item h="1" sd="0" x="272"/>
        <item h="1" sd="0" x="273"/>
        <item h="1" sd="0" x="274"/>
        <item h="1" sd="0" x="275"/>
        <item h="1" sd="0" x="276"/>
        <item h="1" sd="0" x="277"/>
        <item h="1" sd="0" x="278"/>
        <item h="1" sd="0" x="279"/>
        <item h="1" sd="0" x="280"/>
        <item h="1" sd="0" x="281"/>
        <item h="1" sd="0" x="282"/>
        <item h="1" sd="0" x="283"/>
        <item h="1" sd="0" x="284"/>
        <item h="1" sd="0" x="285"/>
        <item h="1" sd="0" x="286"/>
        <item h="1" sd="0" x="287"/>
        <item h="1" sd="0" x="288"/>
        <item h="1" sd="0" x="289"/>
        <item h="1" sd="0" x="290"/>
        <item h="1" sd="0" x="291"/>
        <item h="1" sd="0" x="292"/>
        <item h="1" sd="0" x="293"/>
        <item h="1" sd="0" x="294"/>
        <item h="1" sd="0" x="295"/>
        <item h="1" sd="0" x="296"/>
        <item h="1" sd="0" x="297"/>
        <item h="1" sd="0" x="298"/>
        <item h="1" sd="0" x="299"/>
        <item h="1" sd="0" x="300"/>
        <item h="1" sd="0" x="301"/>
        <item h="1" sd="0" x="302"/>
        <item h="1" sd="0" x="303"/>
        <item h="1" sd="0" x="304"/>
        <item h="1" sd="0" x="305"/>
        <item h="1" sd="0" x="306"/>
        <item h="1" sd="0" x="307"/>
        <item h="1" sd="0" x="308"/>
        <item h="1" sd="0" x="309"/>
        <item h="1" sd="0" x="310"/>
        <item h="1" sd="0" x="311"/>
        <item h="1" sd="0" x="312"/>
        <item h="1" sd="0" x="313"/>
        <item h="1" sd="0" x="314"/>
        <item h="1" sd="0" x="315"/>
        <item h="1" sd="0" x="316"/>
        <item h="1" sd="0" x="317"/>
        <item h="1" sd="0" x="318"/>
        <item h="1" sd="0" x="319"/>
        <item h="1" sd="0" x="320"/>
        <item h="1" sd="0" x="321"/>
        <item h="1" sd="0" x="322"/>
        <item h="1" sd="0" x="323"/>
        <item h="1" sd="0" x="324"/>
        <item h="1" sd="0" x="325"/>
        <item h="1" sd="0" x="326"/>
        <item h="1" sd="0" x="327"/>
        <item h="1" sd="0" x="328"/>
        <item h="1" sd="0" x="329"/>
        <item h="1" sd="0" x="330"/>
        <item h="1" sd="0" x="331"/>
        <item h="1" sd="0" x="332"/>
        <item h="1" sd="0" x="333"/>
        <item h="1" sd="0" x="334"/>
        <item h="1" sd="0" x="335"/>
        <item h="1" sd="0" x="336"/>
        <item h="1" sd="0" x="337"/>
        <item h="1" sd="0" x="338"/>
        <item h="1" sd="0" x="339"/>
        <item h="1" sd="0" x="340"/>
        <item h="1" sd="0" x="341"/>
        <item h="1" sd="0" x="342"/>
        <item h="1" sd="0" x="343"/>
        <item h="1" sd="0" x="344"/>
        <item h="1" sd="0" x="345"/>
        <item h="1" sd="0" x="346"/>
        <item h="1" sd="0" x="347"/>
        <item h="1" sd="0" x="348"/>
        <item h="1" sd="0" x="349"/>
        <item h="1" sd="0" x="350"/>
        <item h="1" sd="0" x="351"/>
        <item h="1" sd="0" x="352"/>
        <item h="1" sd="0" x="353"/>
        <item h="1" sd="0" x="354"/>
        <item h="1" sd="0" x="355"/>
        <item h="1" sd="0" x="356"/>
        <item h="1" sd="0" x="357"/>
        <item h="1" sd="0" x="358"/>
        <item h="1" sd="0" x="359"/>
        <item h="1" sd="0" x="360"/>
        <item h="1" sd="0" x="361"/>
        <item h="1" sd="0" x="362"/>
        <item h="1" sd="0" x="363"/>
        <item h="1" sd="0" x="364"/>
        <item h="1" sd="0" x="365"/>
        <item h="1" sd="0" x="366"/>
        <item h="1"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5">
    <i>
      <x v="2"/>
    </i>
    <i>
      <x/>
    </i>
    <i>
      <x v="3"/>
    </i>
    <i>
      <x v="1"/>
    </i>
    <i t="grand">
      <x/>
    </i>
  </rowItems>
  <colItems count="1">
    <i/>
  </colItems>
  <pageFields count="1">
    <pageField fld="0" hier="-1"/>
  </pageFields>
  <dataFields count="1">
    <dataField name="Sum of Reported_Sales" fld="3" baseField="0" baseItem="0" numFmtId="164"/>
  </dataFields>
  <formats count="2">
    <format dxfId="1">
      <pivotArea dataOnly="0" fieldPosition="0">
        <references count="1">
          <reference field="1" count="1">
            <x v="2"/>
          </reference>
        </references>
      </pivotArea>
    </format>
    <format dxfId="0">
      <pivotArea dataOnly="0" outline="0" fieldPosition="0">
        <references count="1">
          <reference field="0" count="0"/>
        </references>
      </pivotArea>
    </format>
  </formats>
  <chartFormats count="2">
    <chartFormat chart="9" format="6" series="1">
      <pivotArea type="data" outline="0" fieldPosition="0">
        <references count="1">
          <reference field="4294967294" count="1" selected="0">
            <x v="0"/>
          </reference>
        </references>
      </pivotArea>
    </chartFormat>
    <chartFormat chart="25"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687AAC-FFD2-41C7-ADCC-E4D4F5542C4A}" name="pt_Store Sales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1:B26" firstHeaderRow="1" firstDataRow="1" firstDataCol="1" rowPageCount="1" colPageCount="1"/>
  <pivotFields count="6">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axis="axisPage" multipleItemSelectionAllowed="1" showAll="0" sortType="ascending">
      <items count="5">
        <item x="2"/>
        <item x="1"/>
        <item x="3"/>
        <item x="0"/>
        <item t="default"/>
      </items>
    </pivotField>
    <pivotField numFmtId="14" showAll="0">
      <items count="4">
        <item x="0"/>
        <item x="1"/>
        <item x="2"/>
        <item t="default"/>
      </items>
    </pivotField>
    <pivotField dataField="1" numFmtId="164" showAll="0">
      <items count="49">
        <item h="1" x="39"/>
        <item h="1" x="4"/>
        <item h="1" x="31"/>
        <item h="1" x="18"/>
        <item x="26"/>
        <item h="1" x="42"/>
        <item h="1" x="19"/>
        <item h="1" x="6"/>
        <item h="1" x="30"/>
        <item h="1" x="12"/>
        <item h="1" x="32"/>
        <item h="1" x="1"/>
        <item h="1" x="7"/>
        <item h="1" x="21"/>
        <item h="1" x="41"/>
        <item h="1" x="20"/>
        <item h="1" x="37"/>
        <item h="1" x="17"/>
        <item h="1" x="45"/>
        <item h="1" x="35"/>
        <item h="1" x="40"/>
        <item h="1" x="24"/>
        <item h="1" x="3"/>
        <item h="1" x="38"/>
        <item h="1" x="29"/>
        <item h="1" x="28"/>
        <item h="1" x="13"/>
        <item h="1" x="27"/>
        <item h="1" x="9"/>
        <item h="1" x="14"/>
        <item h="1" x="0"/>
        <item h="1" x="25"/>
        <item h="1" x="47"/>
        <item h="1" x="44"/>
        <item h="1" x="16"/>
        <item h="1" x="34"/>
        <item h="1" x="8"/>
        <item h="1" x="10"/>
        <item h="1" x="15"/>
        <item h="1" x="2"/>
        <item h="1" x="46"/>
        <item h="1" x="22"/>
        <item h="1" x="43"/>
        <item h="1" x="11"/>
        <item h="1" x="23"/>
        <item h="1" x="33"/>
        <item h="1" x="5"/>
        <item h="1" x="36"/>
        <item t="default"/>
      </items>
    </pivotField>
    <pivotField showAll="0">
      <items count="369">
        <item h="1" sd="0" x="0"/>
        <item h="1" sd="0" x="1"/>
        <item h="1" sd="0" x="2"/>
        <item h="1" sd="0" x="3"/>
        <item h="1" sd="0" x="4"/>
        <item h="1" sd="0" x="5"/>
        <item h="1" sd="0" x="6"/>
        <item h="1" sd="0" x="7"/>
        <item h="1" sd="0" x="8"/>
        <item h="1" sd="0" x="9"/>
        <item h="1" sd="0" x="10"/>
        <item h="1" sd="0" x="11"/>
        <item h="1" sd="0" x="12"/>
        <item h="1" sd="0" x="13"/>
        <item h="1" sd="0" x="14"/>
        <item h="1" sd="0" x="15"/>
        <item h="1" sd="0" x="16"/>
        <item h="1" sd="0" x="17"/>
        <item h="1" sd="0" x="18"/>
        <item h="1" sd="0" x="19"/>
        <item h="1" sd="0" x="20"/>
        <item h="1" sd="0" x="21"/>
        <item h="1" sd="0" x="22"/>
        <item h="1" sd="0" x="23"/>
        <item h="1" sd="0" x="24"/>
        <item h="1" sd="0" x="25"/>
        <item h="1" sd="0" x="26"/>
        <item h="1" sd="0" x="27"/>
        <item h="1" sd="0" x="28"/>
        <item h="1" sd="0" x="29"/>
        <item h="1" sd="0" x="30"/>
        <item h="1" sd="0" x="31"/>
        <item h="1" sd="0" x="32"/>
        <item h="1" sd="0" x="33"/>
        <item h="1" sd="0" x="34"/>
        <item h="1" sd="0" x="35"/>
        <item h="1" sd="0" x="36"/>
        <item h="1" sd="0" x="37"/>
        <item h="1" sd="0" x="38"/>
        <item h="1" sd="0" x="39"/>
        <item h="1" sd="0" x="40"/>
        <item h="1" sd="0" x="41"/>
        <item h="1" sd="0" x="42"/>
        <item h="1" sd="0" x="43"/>
        <item h="1" sd="0" x="44"/>
        <item h="1" sd="0" x="45"/>
        <item h="1" sd="0" x="46"/>
        <item h="1" sd="0" x="47"/>
        <item h="1" sd="0" x="48"/>
        <item h="1" sd="0" x="49"/>
        <item h="1" sd="0" x="50"/>
        <item h="1" sd="0" x="51"/>
        <item h="1" sd="0" x="52"/>
        <item h="1" sd="0" x="53"/>
        <item h="1" sd="0" x="54"/>
        <item h="1" sd="0" x="55"/>
        <item h="1" sd="0" x="56"/>
        <item h="1" sd="0" x="57"/>
        <item h="1" sd="0" x="58"/>
        <item h="1" sd="0" x="59"/>
        <item h="1" sd="0" x="60"/>
        <item h="1" sd="0" x="61"/>
        <item h="1" sd="0" x="62"/>
        <item h="1" sd="0" x="63"/>
        <item h="1" sd="0" x="64"/>
        <item h="1" sd="0" x="65"/>
        <item h="1" sd="0" x="66"/>
        <item h="1" sd="0" x="67"/>
        <item h="1" sd="0" x="68"/>
        <item h="1" sd="0" x="69"/>
        <item h="1" sd="0" x="70"/>
        <item h="1" sd="0" x="71"/>
        <item h="1" sd="0" x="72"/>
        <item h="1" sd="0" x="73"/>
        <item h="1" sd="0" x="74"/>
        <item h="1" sd="0" x="75"/>
        <item h="1" sd="0" x="76"/>
        <item h="1" sd="0" x="77"/>
        <item h="1" sd="0" x="78"/>
        <item h="1" sd="0" x="79"/>
        <item h="1" sd="0" x="80"/>
        <item h="1" sd="0" x="81"/>
        <item h="1" sd="0" x="82"/>
        <item h="1" sd="0" x="83"/>
        <item h="1" sd="0" x="84"/>
        <item h="1" sd="0" x="85"/>
        <item h="1" sd="0" x="86"/>
        <item h="1" sd="0" x="87"/>
        <item h="1" sd="0" x="88"/>
        <item h="1" sd="0" x="89"/>
        <item h="1" sd="0" x="90"/>
        <item sd="0" x="91"/>
        <item h="1" sd="0" x="92"/>
        <item h="1" sd="0" x="93"/>
        <item h="1" sd="0" x="94"/>
        <item h="1" sd="0" x="95"/>
        <item h="1" sd="0" x="96"/>
        <item h="1" sd="0" x="97"/>
        <item h="1" sd="0" x="98"/>
        <item h="1" sd="0" x="99"/>
        <item h="1" sd="0" x="100"/>
        <item h="1" sd="0" x="101"/>
        <item h="1" sd="0" x="102"/>
        <item h="1" sd="0" x="103"/>
        <item h="1" sd="0" x="104"/>
        <item h="1" sd="0" x="105"/>
        <item h="1" sd="0" x="106"/>
        <item h="1" sd="0" x="107"/>
        <item h="1" sd="0" x="108"/>
        <item h="1" sd="0" x="109"/>
        <item h="1" sd="0" x="110"/>
        <item h="1" sd="0" x="111"/>
        <item h="1" sd="0" x="112"/>
        <item h="1" sd="0" x="113"/>
        <item h="1" sd="0" x="114"/>
        <item h="1" sd="0" x="115"/>
        <item h="1" sd="0" x="116"/>
        <item h="1" sd="0" x="117"/>
        <item h="1" sd="0" x="118"/>
        <item h="1" sd="0" x="119"/>
        <item h="1" sd="0" x="120"/>
        <item h="1" sd="0" x="121"/>
        <item h="1" sd="0" x="122"/>
        <item h="1" sd="0" x="123"/>
        <item h="1" sd="0" x="124"/>
        <item h="1" sd="0" x="125"/>
        <item h="1" sd="0" x="126"/>
        <item h="1" sd="0" x="127"/>
        <item h="1" sd="0" x="128"/>
        <item h="1" sd="0" x="129"/>
        <item h="1" sd="0" x="130"/>
        <item h="1" sd="0" x="131"/>
        <item h="1" sd="0" x="132"/>
        <item h="1" sd="0" x="133"/>
        <item h="1" sd="0" x="134"/>
        <item h="1" sd="0" x="135"/>
        <item h="1" sd="0" x="136"/>
        <item h="1" sd="0" x="137"/>
        <item h="1" sd="0" x="138"/>
        <item h="1" sd="0" x="139"/>
        <item h="1" sd="0" x="140"/>
        <item h="1" sd="0" x="141"/>
        <item h="1" sd="0" x="142"/>
        <item h="1" sd="0" x="143"/>
        <item h="1" sd="0" x="144"/>
        <item h="1" sd="0" x="145"/>
        <item h="1" sd="0" x="146"/>
        <item h="1" sd="0" x="147"/>
        <item h="1" sd="0" x="148"/>
        <item h="1" sd="0" x="149"/>
        <item h="1" sd="0" x="150"/>
        <item h="1" sd="0" x="151"/>
        <item h="1" sd="0" x="152"/>
        <item h="1" sd="0" x="153"/>
        <item h="1" sd="0" x="154"/>
        <item h="1" sd="0" x="155"/>
        <item h="1" sd="0" x="156"/>
        <item h="1" sd="0" x="157"/>
        <item h="1" sd="0" x="158"/>
        <item h="1" sd="0" x="159"/>
        <item h="1" sd="0" x="160"/>
        <item h="1" sd="0" x="161"/>
        <item h="1" sd="0" x="162"/>
        <item h="1" sd="0" x="163"/>
        <item h="1" sd="0" x="164"/>
        <item h="1" sd="0" x="165"/>
        <item h="1" sd="0" x="166"/>
        <item h="1" sd="0" x="167"/>
        <item h="1" sd="0" x="168"/>
        <item h="1" sd="0" x="169"/>
        <item h="1" sd="0" x="170"/>
        <item h="1" sd="0" x="171"/>
        <item h="1" sd="0" x="172"/>
        <item h="1" sd="0" x="173"/>
        <item h="1" sd="0" x="174"/>
        <item h="1" sd="0" x="175"/>
        <item h="1" sd="0" x="176"/>
        <item h="1" sd="0" x="177"/>
        <item h="1" sd="0" x="178"/>
        <item h="1" sd="0" x="179"/>
        <item h="1" sd="0" x="180"/>
        <item h="1" sd="0" x="181"/>
        <item h="1" sd="0" x="182"/>
        <item h="1" sd="0" x="183"/>
        <item h="1" sd="0" x="184"/>
        <item h="1" sd="0" x="185"/>
        <item h="1" sd="0" x="186"/>
        <item h="1" sd="0" x="187"/>
        <item h="1" sd="0" x="188"/>
        <item h="1" sd="0" x="189"/>
        <item h="1" sd="0" x="190"/>
        <item h="1" sd="0" x="191"/>
        <item h="1" sd="0" x="192"/>
        <item h="1" sd="0" x="193"/>
        <item h="1" sd="0" x="194"/>
        <item h="1" sd="0" x="195"/>
        <item h="1" sd="0" x="196"/>
        <item h="1" sd="0" x="197"/>
        <item h="1" sd="0" x="198"/>
        <item h="1" sd="0" x="199"/>
        <item h="1" sd="0" x="200"/>
        <item h="1" sd="0" x="201"/>
        <item h="1" sd="0" x="202"/>
        <item h="1" sd="0" x="203"/>
        <item h="1" sd="0" x="204"/>
        <item h="1" sd="0" x="205"/>
        <item h="1" sd="0" x="206"/>
        <item h="1" sd="0" x="207"/>
        <item h="1" sd="0" x="208"/>
        <item h="1" sd="0" x="209"/>
        <item h="1" sd="0" x="210"/>
        <item h="1" sd="0" x="211"/>
        <item h="1" sd="0" x="212"/>
        <item h="1" sd="0" x="213"/>
        <item h="1" sd="0" x="214"/>
        <item h="1" sd="0" x="215"/>
        <item h="1" sd="0" x="216"/>
        <item h="1" sd="0" x="217"/>
        <item h="1" sd="0" x="218"/>
        <item h="1" sd="0" x="219"/>
        <item h="1" sd="0" x="220"/>
        <item h="1" sd="0" x="221"/>
        <item h="1" sd="0" x="222"/>
        <item h="1" sd="0" x="223"/>
        <item h="1" sd="0" x="224"/>
        <item h="1" sd="0" x="225"/>
        <item h="1" sd="0" x="226"/>
        <item h="1" sd="0" x="227"/>
        <item h="1" sd="0" x="228"/>
        <item h="1" sd="0" x="229"/>
        <item h="1" sd="0" x="230"/>
        <item h="1" sd="0" x="231"/>
        <item h="1" sd="0" x="232"/>
        <item h="1" sd="0" x="233"/>
        <item h="1" sd="0" x="234"/>
        <item h="1" sd="0" x="235"/>
        <item h="1" sd="0" x="236"/>
        <item h="1" sd="0" x="237"/>
        <item h="1" sd="0" x="238"/>
        <item h="1" sd="0" x="239"/>
        <item h="1" sd="0" x="240"/>
        <item h="1" sd="0" x="241"/>
        <item h="1" sd="0" x="242"/>
        <item h="1" sd="0" x="243"/>
        <item h="1" sd="0" x="244"/>
        <item h="1" sd="0" x="245"/>
        <item h="1" sd="0" x="246"/>
        <item h="1" sd="0" x="247"/>
        <item h="1" sd="0" x="248"/>
        <item h="1" sd="0" x="249"/>
        <item h="1" sd="0" x="250"/>
        <item h="1" sd="0" x="251"/>
        <item h="1" sd="0" x="252"/>
        <item h="1" sd="0" x="253"/>
        <item h="1" sd="0" x="254"/>
        <item h="1" sd="0" x="255"/>
        <item h="1" sd="0" x="256"/>
        <item h="1" sd="0" x="257"/>
        <item h="1" sd="0" x="258"/>
        <item h="1" sd="0" x="259"/>
        <item h="1" sd="0" x="260"/>
        <item h="1" sd="0" x="261"/>
        <item h="1" sd="0" x="262"/>
        <item h="1" sd="0" x="263"/>
        <item h="1" sd="0" x="264"/>
        <item h="1" sd="0" x="265"/>
        <item h="1" sd="0" x="266"/>
        <item h="1" sd="0" x="267"/>
        <item h="1" sd="0" x="268"/>
        <item h="1" sd="0" x="269"/>
        <item h="1" sd="0" x="270"/>
        <item h="1" sd="0" x="271"/>
        <item h="1" sd="0" x="272"/>
        <item h="1" sd="0" x="273"/>
        <item h="1" sd="0" x="274"/>
        <item h="1" sd="0" x="275"/>
        <item h="1" sd="0" x="276"/>
        <item h="1" sd="0" x="277"/>
        <item h="1" sd="0" x="278"/>
        <item h="1" sd="0" x="279"/>
        <item h="1" sd="0" x="280"/>
        <item h="1" sd="0" x="281"/>
        <item h="1" sd="0" x="282"/>
        <item h="1" sd="0" x="283"/>
        <item h="1" sd="0" x="284"/>
        <item h="1" sd="0" x="285"/>
        <item h="1" sd="0" x="286"/>
        <item h="1" sd="0" x="287"/>
        <item h="1" sd="0" x="288"/>
        <item h="1" sd="0" x="289"/>
        <item h="1" sd="0" x="290"/>
        <item h="1" sd="0" x="291"/>
        <item h="1" sd="0" x="292"/>
        <item h="1" sd="0" x="293"/>
        <item h="1" sd="0" x="294"/>
        <item h="1" sd="0" x="295"/>
        <item h="1" sd="0" x="296"/>
        <item h="1" sd="0" x="297"/>
        <item h="1" sd="0" x="298"/>
        <item h="1" sd="0" x="299"/>
        <item h="1" sd="0" x="300"/>
        <item h="1" sd="0" x="301"/>
        <item h="1" sd="0" x="302"/>
        <item h="1" sd="0" x="303"/>
        <item h="1" sd="0" x="304"/>
        <item h="1" sd="0" x="305"/>
        <item h="1" sd="0" x="306"/>
        <item h="1" sd="0" x="307"/>
        <item h="1" sd="0" x="308"/>
        <item h="1" sd="0" x="309"/>
        <item h="1" sd="0" x="310"/>
        <item h="1" sd="0" x="311"/>
        <item h="1" sd="0" x="312"/>
        <item h="1" sd="0" x="313"/>
        <item h="1" sd="0" x="314"/>
        <item h="1" sd="0" x="315"/>
        <item h="1" sd="0" x="316"/>
        <item h="1" sd="0" x="317"/>
        <item h="1" sd="0" x="318"/>
        <item h="1" sd="0" x="319"/>
        <item h="1" sd="0" x="320"/>
        <item h="1" sd="0" x="321"/>
        <item h="1" sd="0" x="322"/>
        <item h="1" sd="0" x="323"/>
        <item h="1" sd="0" x="324"/>
        <item h="1" sd="0" x="325"/>
        <item h="1" sd="0" x="326"/>
        <item h="1" sd="0" x="327"/>
        <item h="1" sd="0" x="328"/>
        <item h="1" sd="0" x="329"/>
        <item h="1" sd="0" x="330"/>
        <item h="1" sd="0" x="331"/>
        <item h="1" sd="0" x="332"/>
        <item h="1" sd="0" x="333"/>
        <item h="1" sd="0" x="334"/>
        <item h="1" sd="0" x="335"/>
        <item h="1" sd="0" x="336"/>
        <item h="1" sd="0" x="337"/>
        <item h="1" sd="0" x="338"/>
        <item h="1" sd="0" x="339"/>
        <item h="1" sd="0" x="340"/>
        <item h="1" sd="0" x="341"/>
        <item h="1" sd="0" x="342"/>
        <item h="1" sd="0" x="343"/>
        <item h="1" sd="0" x="344"/>
        <item h="1" sd="0" x="345"/>
        <item h="1" sd="0" x="346"/>
        <item h="1" sd="0" x="347"/>
        <item h="1" sd="0" x="348"/>
        <item h="1" sd="0" x="349"/>
        <item h="1" sd="0" x="350"/>
        <item h="1" sd="0" x="351"/>
        <item h="1" sd="0" x="352"/>
        <item h="1" sd="0" x="353"/>
        <item h="1" sd="0" x="354"/>
        <item h="1" sd="0" x="355"/>
        <item h="1" sd="0" x="356"/>
        <item h="1" sd="0" x="357"/>
        <item h="1" sd="0" x="358"/>
        <item h="1" sd="0" x="359"/>
        <item h="1" sd="0" x="360"/>
        <item h="1" sd="0" x="361"/>
        <item h="1" sd="0" x="362"/>
        <item h="1" sd="0" x="363"/>
        <item h="1" sd="0" x="364"/>
        <item h="1" sd="0" x="365"/>
        <item h="1" sd="0" x="366"/>
        <item h="1" sd="0" x="367"/>
        <item t="default"/>
      </items>
    </pivotField>
    <pivotField showAll="0">
      <items count="15">
        <item h="1" sd="0" x="0"/>
        <item sd="0" x="1"/>
        <item sd="0" x="2"/>
        <item sd="0" x="3"/>
        <item sd="0" x="4"/>
        <item sd="0" x="5"/>
        <item sd="0" x="6"/>
        <item sd="0" x="7"/>
        <item h="1" sd="0" x="8"/>
        <item sd="0" x="9"/>
        <item h="1" sd="0" x="10"/>
        <item h="1" sd="0" x="11"/>
        <item h="1" sd="0" x="12"/>
        <item h="1" sd="0" x="13"/>
        <item t="default"/>
      </items>
    </pivotField>
  </pivotFields>
  <rowFields count="1">
    <field x="0"/>
  </rowFields>
  <rowItems count="5">
    <i>
      <x v="1"/>
    </i>
    <i>
      <x v="3"/>
    </i>
    <i>
      <x/>
    </i>
    <i>
      <x v="2"/>
    </i>
    <i t="grand">
      <x/>
    </i>
  </rowItems>
  <colItems count="1">
    <i/>
  </colItems>
  <pageFields count="1">
    <pageField fld="1" hier="-1"/>
  </pageFields>
  <dataFields count="1">
    <dataField name="Sum of Reported_Sales" fld="3" baseField="0" baseItem="0" numFmtId="164"/>
  </dataFields>
  <formats count="3">
    <format dxfId="4">
      <pivotArea collapsedLevelsAreSubtotals="1" fieldPosition="0">
        <references count="1">
          <reference field="0" count="1">
            <x v="1"/>
          </reference>
        </references>
      </pivotArea>
    </format>
    <format dxfId="3">
      <pivotArea dataOnly="0" labelOnly="1" fieldPosition="0">
        <references count="1">
          <reference field="0" count="1">
            <x v="1"/>
          </reference>
        </references>
      </pivotArea>
    </format>
    <format dxfId="2">
      <pivotArea dataOnly="0" outline="0" fieldPosition="0">
        <references count="1">
          <reference field="1" count="0"/>
        </references>
      </pivotArea>
    </format>
  </formats>
  <chartFormats count="3">
    <chartFormat chart="0"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B63908-493D-4810-8ECB-9AFC08B68AC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3:B36" firstHeaderRow="1" firstDataRow="1" firstDataCol="1" rowPageCount="1" colPageCount="1"/>
  <pivotFields count="6">
    <pivotField axis="axisRow" showAll="0">
      <items count="5">
        <item h="1" x="3"/>
        <item x="2"/>
        <item x="0"/>
        <item h="1" x="1"/>
        <item t="default"/>
      </items>
    </pivotField>
    <pivotField axis="axisPage" multipleItemSelectionAllowed="1" showAll="0">
      <items count="5">
        <item x="2"/>
        <item x="1"/>
        <item x="3"/>
        <item x="0"/>
        <item t="default"/>
      </items>
    </pivotField>
    <pivotField numFmtId="14" showAll="0">
      <items count="4">
        <item x="0"/>
        <item x="1"/>
        <item x="2"/>
        <item t="default"/>
      </items>
    </pivotField>
    <pivotField dataField="1" numFmtId="164" showAll="0"/>
    <pivotField showAll="0" defaultSubtotal="0"/>
    <pivotField showAll="0" defaultSubtotal="0">
      <items count="14">
        <item x="0"/>
        <item x="1"/>
        <item x="2"/>
        <item x="3"/>
        <item x="4"/>
        <item x="5"/>
        <item x="6"/>
        <item x="7"/>
        <item x="8"/>
        <item x="9"/>
        <item x="10"/>
        <item x="11"/>
        <item x="12"/>
        <item x="13"/>
      </items>
    </pivotField>
  </pivotFields>
  <rowFields count="1">
    <field x="0"/>
  </rowFields>
  <rowItems count="3">
    <i>
      <x v="1"/>
    </i>
    <i>
      <x v="2"/>
    </i>
    <i t="grand">
      <x/>
    </i>
  </rowItems>
  <colItems count="1">
    <i/>
  </colItems>
  <pageFields count="1">
    <pageField fld="1" hier="-1"/>
  </pageFields>
  <dataFields count="1">
    <dataField name="Sum of Reported_Sales" fld="3" baseField="0" baseItem="0" numFmtId="164"/>
  </dataFields>
  <formats count="1">
    <format dxfId="5">
      <pivotArea dataOnly="0" outline="0"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08B0EE4-1517-47D5-A379-2DC9DDE93D77}" sourceName="Region">
  <pivotTables>
    <pivotTable tabId="16" name="pt_Store Sales "/>
  </pivotTables>
  <data>
    <tabular pivotCacheId="1774246041">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ort_Date" xr10:uid="{BE882924-EA3D-4C02-8A7C-E931654BADBD}" sourceName="Report_Date">
  <pivotTables>
    <pivotTable tabId="16" name="pt_region"/>
  </pivotTables>
  <data>
    <tabular pivotCacheId="177424604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443E97C-CB5D-4A56-9B9C-54460008EBCC}" cache="Slicer_Region" caption="Region" style="SlicerStyleLight1 2" rowHeight="1161288"/>
  <slicer name="Report_Date" xr10:uid="{0C2B8996-77F9-4D13-A8F1-EEFB00827760}" cache="Slicer_Report_Date" caption="Report_Date" style="SlicerStyleLight1 2" rowHeight="116128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547EFF-35EE-43C6-8348-D8ABEBF7BE58}" name="Table10" displayName="Table10" ref="A1:C12" totalsRowShown="0">
  <autoFilter ref="A1:C12" xr:uid="{8E023BD7-33B7-4865-9079-6EA593829B11}"/>
  <tableColumns count="3">
    <tableColumn id="1" xr3:uid="{BB69F559-CDFA-438D-855B-A2E2E5C9F0B3}" name="Customer Name"/>
    <tableColumn id="2" xr3:uid="{2DEAFC7F-4F34-468F-94EA-9AE1C0A371B0}" name="Service Type"/>
    <tableColumn id="3" xr3:uid="{A46355EB-8F66-4EFA-82FF-416F458C9BD3}" name="Date" dataDxfId="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148A1FF-CAA2-4659-87FF-DBE006F1E3E0}" name="Table3" displayName="Table3" ref="A3:D8" totalsRowShown="0">
  <autoFilter ref="A3:D8" xr:uid="{95589F3A-54AF-4563-9747-AB40EE94C99B}">
    <filterColumn colId="0" hiddenButton="1"/>
    <filterColumn colId="1" hiddenButton="1"/>
    <filterColumn colId="2" hiddenButton="1"/>
    <filterColumn colId="3" hiddenButton="1"/>
  </autoFilter>
  <tableColumns count="4">
    <tableColumn id="1" xr3:uid="{DADA4770-DBDB-4F70-B953-76529BC26E68}" name="Region"/>
    <tableColumn id="2" xr3:uid="{12F3B2B6-A5D0-4211-83E9-4EE2C74B72BE}" name="Sales Rep"/>
    <tableColumn id="3" xr3:uid="{40A1B26F-295F-402F-82EA-D36266244077}" name="Product"/>
    <tableColumn id="4" xr3:uid="{6030199D-ED90-438C-9F9A-B8CF77E9E716}" name="Units" dataDxfId="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B4D955B-D586-4A76-8C55-4751D35E6BC2}" name="Table4" displayName="Table4" ref="B2:E51" totalsRowCount="1" headerRowDxfId="16" headerRowCellStyle="Accent1">
  <autoFilter ref="B2:E50" xr:uid="{AB4D955B-D586-4A76-8C55-4751D35E6BC2}"/>
  <sortState xmlns:xlrd2="http://schemas.microsoft.com/office/spreadsheetml/2017/richdata2" ref="B3:E50">
    <sortCondition ref="D2:D50"/>
  </sortState>
  <tableColumns count="4">
    <tableColumn id="1" xr3:uid="{F12E1672-FB85-4FC0-BCF6-3EA6354287C6}" name="Store Name" totalsRowFunction="count" dataDxfId="15" totalsRowDxfId="14"/>
    <tableColumn id="2" xr3:uid="{5F50AB43-4D50-4F1F-8809-439F6D56FE37}" name="Region" totalsRowFunction="count" dataDxfId="13" totalsRowDxfId="12"/>
    <tableColumn id="3" xr3:uid="{1C01859B-2DB3-4CAD-BDA3-CD965993462C}" name="Report_Date" totalsRowFunction="count" dataDxfId="11" totalsRowDxfId="10"/>
    <tableColumn id="4" xr3:uid="{D5EDA753-3A09-47BA-B7C5-35EE330AAA61}" name="Reported_Sales" totalsRowFunction="sum" dataDxfId="9" totalsRowDxfId="8" dataCellStyle="Outpu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1364B-494B-4ED5-ACFB-6F3AFE2BD35E}">
  <dimension ref="A1:C18"/>
  <sheetViews>
    <sheetView zoomScale="175" zoomScaleNormal="175" workbookViewId="0">
      <selection activeCell="D12" sqref="D12"/>
    </sheetView>
  </sheetViews>
  <sheetFormatPr defaultColWidth="8.78515625" defaultRowHeight="15.5" x14ac:dyDescent="0.35"/>
  <cols>
    <col min="1" max="1" width="12" style="4" customWidth="1"/>
    <col min="2" max="2" width="9.5" style="4" customWidth="1"/>
    <col min="3" max="3" width="7.5" style="4" bestFit="1" customWidth="1"/>
    <col min="4" max="16384" width="8.78515625" style="4"/>
  </cols>
  <sheetData>
    <row r="1" spans="1:3" x14ac:dyDescent="0.35">
      <c r="A1" s="4" t="s">
        <v>6</v>
      </c>
      <c r="B1" s="4" t="s">
        <v>7</v>
      </c>
      <c r="C1" s="4" t="s">
        <v>8</v>
      </c>
    </row>
    <row r="2" spans="1:3" x14ac:dyDescent="0.35">
      <c r="A2" s="4" t="s">
        <v>9</v>
      </c>
      <c r="B2" s="4" t="s">
        <v>10</v>
      </c>
      <c r="C2" s="5">
        <v>43466</v>
      </c>
    </row>
    <row r="3" spans="1:3" x14ac:dyDescent="0.35">
      <c r="A3" s="4" t="s">
        <v>11</v>
      </c>
      <c r="B3" s="4" t="s">
        <v>12</v>
      </c>
      <c r="C3" s="5">
        <v>43529</v>
      </c>
    </row>
    <row r="4" spans="1:3" x14ac:dyDescent="0.35">
      <c r="A4" s="4" t="s">
        <v>13</v>
      </c>
      <c r="B4" s="4" t="s">
        <v>14</v>
      </c>
      <c r="C4" s="5">
        <v>43532</v>
      </c>
    </row>
    <row r="5" spans="1:3" x14ac:dyDescent="0.35">
      <c r="A5" s="4" t="s">
        <v>15</v>
      </c>
      <c r="B5" s="4" t="s">
        <v>14</v>
      </c>
      <c r="C5" s="5">
        <v>43534</v>
      </c>
    </row>
    <row r="6" spans="1:3" x14ac:dyDescent="0.35">
      <c r="A6" s="4" t="s">
        <v>15</v>
      </c>
      <c r="B6" s="4" t="s">
        <v>16</v>
      </c>
      <c r="C6" s="5">
        <v>43539</v>
      </c>
    </row>
    <row r="7" spans="1:3" x14ac:dyDescent="0.35">
      <c r="A7" s="4" t="s">
        <v>17</v>
      </c>
      <c r="B7" s="4" t="s">
        <v>12</v>
      </c>
      <c r="C7" s="5">
        <v>43568</v>
      </c>
    </row>
    <row r="8" spans="1:3" x14ac:dyDescent="0.35">
      <c r="A8" s="4" t="s">
        <v>11</v>
      </c>
      <c r="B8" s="4" t="s">
        <v>12</v>
      </c>
      <c r="C8" s="5">
        <v>43591</v>
      </c>
    </row>
    <row r="9" spans="1:3" x14ac:dyDescent="0.35">
      <c r="A9" s="4" t="s">
        <v>18</v>
      </c>
      <c r="B9" s="4" t="s">
        <v>12</v>
      </c>
      <c r="C9" s="5">
        <v>43599</v>
      </c>
    </row>
    <row r="10" spans="1:3" x14ac:dyDescent="0.35">
      <c r="A10" s="4" t="s">
        <v>18</v>
      </c>
      <c r="B10" s="4" t="s">
        <v>19</v>
      </c>
      <c r="C10" s="5">
        <v>43610</v>
      </c>
    </row>
    <row r="11" spans="1:3" x14ac:dyDescent="0.35">
      <c r="A11" s="4" t="s">
        <v>13</v>
      </c>
      <c r="B11" s="4" t="s">
        <v>16</v>
      </c>
      <c r="C11" s="5">
        <v>43645</v>
      </c>
    </row>
    <row r="12" spans="1:3" x14ac:dyDescent="0.35">
      <c r="A12" s="4" t="s">
        <v>20</v>
      </c>
      <c r="B12" s="4" t="s">
        <v>10</v>
      </c>
      <c r="C12" s="5">
        <v>43737</v>
      </c>
    </row>
    <row r="15" spans="1:3" x14ac:dyDescent="0.35">
      <c r="A15" s="6" t="s">
        <v>21</v>
      </c>
      <c r="B15" s="6"/>
    </row>
    <row r="16" spans="1:3" x14ac:dyDescent="0.35">
      <c r="A16" s="4" t="str" cm="1">
        <f t="array" ref="A16:A18">_xlfn.UNIQUE(Table10[Customer Name],,TRUE)</f>
        <v>Fife, Grant</v>
      </c>
    </row>
    <row r="17" spans="1:1" x14ac:dyDescent="0.35">
      <c r="A17" s="4" t="str">
        <v>Larson, Lynn</v>
      </c>
    </row>
    <row r="18" spans="1:1" x14ac:dyDescent="0.35">
      <c r="A18" s="4" t="str">
        <v>Brown,Charity</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811FE-5F5E-4594-AE00-47AD16932941}">
  <dimension ref="A1:J7"/>
  <sheetViews>
    <sheetView zoomScale="220" zoomScaleNormal="220" workbookViewId="0">
      <selection activeCell="D12" sqref="D12"/>
    </sheetView>
  </sheetViews>
  <sheetFormatPr defaultColWidth="8.78515625" defaultRowHeight="15.5" x14ac:dyDescent="0.35"/>
  <cols>
    <col min="1" max="16384" width="8.78515625" style="4"/>
  </cols>
  <sheetData>
    <row r="1" spans="1:10" x14ac:dyDescent="0.35">
      <c r="A1" s="7" t="s">
        <v>22</v>
      </c>
      <c r="B1" s="7" t="s">
        <v>23</v>
      </c>
      <c r="C1" s="7" t="s">
        <v>24</v>
      </c>
      <c r="D1" s="7" t="s">
        <v>25</v>
      </c>
      <c r="G1" s="7" t="s">
        <v>26</v>
      </c>
    </row>
    <row r="2" spans="1:10" x14ac:dyDescent="0.35">
      <c r="A2" s="4" t="s">
        <v>2</v>
      </c>
      <c r="B2" s="4" t="s">
        <v>0</v>
      </c>
      <c r="C2" s="4" t="s">
        <v>27</v>
      </c>
      <c r="D2" s="8">
        <v>6380</v>
      </c>
      <c r="G2" s="4" t="str" cm="1">
        <f t="array" ref="G2:J7">_xlfn._xlws.SORT(A2:D7,4,1)</f>
        <v>East</v>
      </c>
      <c r="H2" s="4" t="str">
        <v>Fritz</v>
      </c>
      <c r="I2" s="4" t="str">
        <v>Apple</v>
      </c>
      <c r="J2" s="4">
        <v>4394</v>
      </c>
    </row>
    <row r="3" spans="1:10" x14ac:dyDescent="0.35">
      <c r="A3" s="4" t="s">
        <v>5</v>
      </c>
      <c r="B3" s="4" t="s">
        <v>28</v>
      </c>
      <c r="C3" s="4" t="s">
        <v>29</v>
      </c>
      <c r="D3" s="8">
        <v>5619</v>
      </c>
      <c r="G3" s="4" t="str">
        <v>North</v>
      </c>
      <c r="H3" s="4" t="str">
        <v>Amy</v>
      </c>
      <c r="I3" s="4" t="str">
        <v>Pear</v>
      </c>
      <c r="J3" s="4">
        <v>4565</v>
      </c>
    </row>
    <row r="4" spans="1:10" x14ac:dyDescent="0.35">
      <c r="A4" s="4" t="s">
        <v>3</v>
      </c>
      <c r="B4" s="4" t="s">
        <v>30</v>
      </c>
      <c r="C4" s="4" t="s">
        <v>31</v>
      </c>
      <c r="D4" s="8">
        <v>4565</v>
      </c>
      <c r="G4" s="4" t="str">
        <v>South</v>
      </c>
      <c r="H4" s="4" t="str">
        <v>Sal</v>
      </c>
      <c r="I4" s="4" t="str">
        <v>Banana</v>
      </c>
      <c r="J4" s="4">
        <v>5323</v>
      </c>
    </row>
    <row r="5" spans="1:10" x14ac:dyDescent="0.35">
      <c r="A5" s="4" t="s">
        <v>4</v>
      </c>
      <c r="B5" s="4" t="s">
        <v>32</v>
      </c>
      <c r="C5" s="4" t="s">
        <v>33</v>
      </c>
      <c r="D5" s="8">
        <v>5323</v>
      </c>
      <c r="G5" s="4" t="str">
        <v>West</v>
      </c>
      <c r="H5" s="4" t="str">
        <v>Fred</v>
      </c>
      <c r="I5" s="4" t="str">
        <v>Grape</v>
      </c>
      <c r="J5" s="4">
        <v>5619</v>
      </c>
    </row>
    <row r="6" spans="1:10" x14ac:dyDescent="0.35">
      <c r="A6" s="4" t="s">
        <v>2</v>
      </c>
      <c r="B6" s="4" t="s">
        <v>34</v>
      </c>
      <c r="C6" s="4" t="s">
        <v>27</v>
      </c>
      <c r="D6" s="8">
        <v>4394</v>
      </c>
      <c r="G6" s="4" t="str">
        <v>East</v>
      </c>
      <c r="H6" s="4" t="str">
        <v>Tom</v>
      </c>
      <c r="I6" s="4" t="str">
        <v>Apple</v>
      </c>
      <c r="J6" s="4">
        <v>6380</v>
      </c>
    </row>
    <row r="7" spans="1:10" x14ac:dyDescent="0.35">
      <c r="A7" s="4" t="s">
        <v>5</v>
      </c>
      <c r="B7" s="4" t="s">
        <v>35</v>
      </c>
      <c r="C7" s="4" t="s">
        <v>29</v>
      </c>
      <c r="D7" s="8">
        <v>7195</v>
      </c>
      <c r="G7" s="4" t="str">
        <v>West</v>
      </c>
      <c r="H7" s="4" t="str">
        <v>Sravan</v>
      </c>
      <c r="I7" s="4" t="str">
        <v>Grape</v>
      </c>
      <c r="J7" s="4">
        <v>7195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CE11F-87CE-42C9-AD65-F37C8A301E17}">
  <dimension ref="A1:I8"/>
  <sheetViews>
    <sheetView zoomScale="175" zoomScaleNormal="175" workbookViewId="0">
      <selection activeCell="D12" sqref="D12"/>
    </sheetView>
  </sheetViews>
  <sheetFormatPr defaultColWidth="8.78515625" defaultRowHeight="15.5" x14ac:dyDescent="0.35"/>
  <cols>
    <col min="1" max="1" width="8.78515625" style="4"/>
    <col min="2" max="2" width="7.42578125" style="4" customWidth="1"/>
    <col min="3" max="16384" width="8.78515625" style="4"/>
  </cols>
  <sheetData>
    <row r="1" spans="1:9" ht="23.5" x14ac:dyDescent="0.55000000000000004">
      <c r="A1" s="9" t="s">
        <v>36</v>
      </c>
      <c r="F1" s="10" t="s">
        <v>24</v>
      </c>
      <c r="G1" s="11" t="s">
        <v>31</v>
      </c>
    </row>
    <row r="2" spans="1:9" x14ac:dyDescent="0.35">
      <c r="F2" s="10" t="s">
        <v>22</v>
      </c>
      <c r="G2" s="11" t="s">
        <v>4</v>
      </c>
    </row>
    <row r="3" spans="1:9" x14ac:dyDescent="0.35">
      <c r="A3" s="4" t="s">
        <v>22</v>
      </c>
      <c r="B3" s="4" t="s">
        <v>23</v>
      </c>
      <c r="C3" s="4" t="s">
        <v>24</v>
      </c>
      <c r="D3" s="4" t="s">
        <v>25</v>
      </c>
      <c r="F3" s="12" t="s">
        <v>22</v>
      </c>
      <c r="G3" s="13" t="s">
        <v>23</v>
      </c>
      <c r="H3" s="13" t="s">
        <v>24</v>
      </c>
      <c r="I3" s="14" t="s">
        <v>25</v>
      </c>
    </row>
    <row r="4" spans="1:9" x14ac:dyDescent="0.35">
      <c r="A4" s="4" t="s">
        <v>2</v>
      </c>
      <c r="B4" s="4" t="s">
        <v>28</v>
      </c>
      <c r="C4" s="4" t="s">
        <v>27</v>
      </c>
      <c r="D4" s="8">
        <v>6380</v>
      </c>
      <c r="F4" s="4" t="str" cm="1">
        <f t="array" ref="F4:I4">_xlfn._xlws.FILTER(Table3[],Table3[Product]=G1)</f>
        <v xml:space="preserve">North </v>
      </c>
      <c r="G4" s="4" t="str">
        <v>Sal</v>
      </c>
      <c r="H4" s="4" t="str">
        <v>Pear</v>
      </c>
      <c r="I4" s="4">
        <v>5323</v>
      </c>
    </row>
    <row r="5" spans="1:9" x14ac:dyDescent="0.35">
      <c r="A5" s="4" t="s">
        <v>5</v>
      </c>
      <c r="B5" s="4" t="s">
        <v>30</v>
      </c>
      <c r="C5" s="4" t="s">
        <v>33</v>
      </c>
      <c r="D5" s="8">
        <v>5619</v>
      </c>
    </row>
    <row r="6" spans="1:9" x14ac:dyDescent="0.35">
      <c r="A6" s="4" t="s">
        <v>37</v>
      </c>
      <c r="B6" s="4" t="s">
        <v>32</v>
      </c>
      <c r="C6" s="4" t="s">
        <v>31</v>
      </c>
      <c r="D6" s="8">
        <v>5323</v>
      </c>
    </row>
    <row r="7" spans="1:9" x14ac:dyDescent="0.35">
      <c r="A7" s="4" t="s">
        <v>4</v>
      </c>
      <c r="B7" s="4" t="s">
        <v>34</v>
      </c>
      <c r="C7" s="4" t="s">
        <v>33</v>
      </c>
      <c r="D7" s="8">
        <v>1195</v>
      </c>
    </row>
    <row r="8" spans="1:9" x14ac:dyDescent="0.35">
      <c r="A8" s="4" t="s">
        <v>2</v>
      </c>
      <c r="B8" s="4" t="s">
        <v>38</v>
      </c>
      <c r="C8" s="4" t="s">
        <v>33</v>
      </c>
      <c r="D8" s="8">
        <v>2437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258F7-23DD-4D32-8661-2A31B20C9A88}">
  <sheetPr>
    <tabColor theme="0"/>
  </sheetPr>
  <dimension ref="B19:C20"/>
  <sheetViews>
    <sheetView showGridLines="0" workbookViewId="0">
      <selection activeCell="I26" sqref="I26"/>
    </sheetView>
  </sheetViews>
  <sheetFormatPr defaultColWidth="7.2109375" defaultRowHeight="14.5" x14ac:dyDescent="0.35"/>
  <cols>
    <col min="1" max="16384" width="7.2109375" style="1"/>
  </cols>
  <sheetData>
    <row r="19" spans="2:3" x14ac:dyDescent="0.35">
      <c r="B19" s="2"/>
    </row>
    <row r="20" spans="2:3" x14ac:dyDescent="0.35">
      <c r="B20" s="2"/>
      <c r="C20" s="3"/>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BE20A-38B6-4126-963F-0F41956830BB}">
  <dimension ref="A1:M51"/>
  <sheetViews>
    <sheetView showGridLines="0" zoomScale="70" zoomScaleNormal="70" workbookViewId="0"/>
  </sheetViews>
  <sheetFormatPr defaultRowHeight="16" x14ac:dyDescent="0.4"/>
  <cols>
    <col min="1" max="1" width="10.640625" customWidth="1"/>
    <col min="2" max="2" width="12" bestFit="1" customWidth="1"/>
    <col min="3" max="3" width="11.35546875" customWidth="1"/>
    <col min="4" max="4" width="13.42578125" customWidth="1"/>
    <col min="5" max="5" width="13.640625" bestFit="1" customWidth="1"/>
    <col min="7" max="7" width="13.42578125" customWidth="1"/>
    <col min="9" max="9" width="1.92578125" bestFit="1" customWidth="1"/>
    <col min="12" max="12" width="9.140625" customWidth="1"/>
    <col min="13" max="13" width="15" bestFit="1" customWidth="1"/>
  </cols>
  <sheetData>
    <row r="1" spans="1:13" ht="23.5" x14ac:dyDescent="0.55000000000000004">
      <c r="A1" s="9" t="s">
        <v>39</v>
      </c>
    </row>
    <row r="2" spans="1:13" x14ac:dyDescent="0.4">
      <c r="B2" s="15" t="s">
        <v>40</v>
      </c>
      <c r="C2" s="15" t="s">
        <v>22</v>
      </c>
      <c r="D2" s="15" t="s">
        <v>41</v>
      </c>
      <c r="E2" s="15" t="s">
        <v>42</v>
      </c>
    </row>
    <row r="3" spans="1:13" ht="18.5" x14ac:dyDescent="0.45">
      <c r="B3" s="17" t="s">
        <v>44</v>
      </c>
      <c r="C3" s="17" t="s">
        <v>45</v>
      </c>
      <c r="D3" s="18">
        <v>44286</v>
      </c>
      <c r="E3" s="24">
        <v>1242677</v>
      </c>
      <c r="I3" s="16"/>
      <c r="J3" s="40" t="s">
        <v>43</v>
      </c>
      <c r="K3" s="40"/>
      <c r="L3" s="40"/>
      <c r="M3" s="40"/>
    </row>
    <row r="4" spans="1:13" ht="18.5" x14ac:dyDescent="0.45">
      <c r="B4" s="17" t="s">
        <v>44</v>
      </c>
      <c r="C4" s="17" t="s">
        <v>47</v>
      </c>
      <c r="D4" s="18">
        <v>44286</v>
      </c>
      <c r="E4" s="24">
        <v>921439</v>
      </c>
      <c r="I4" s="19">
        <v>1</v>
      </c>
      <c r="J4" s="41" t="s">
        <v>46</v>
      </c>
      <c r="K4" s="41"/>
      <c r="L4" s="41"/>
      <c r="M4" s="41"/>
    </row>
    <row r="5" spans="1:13" ht="18.5" x14ac:dyDescent="0.45">
      <c r="B5" s="17" t="s">
        <v>44</v>
      </c>
      <c r="C5" s="17" t="s">
        <v>49</v>
      </c>
      <c r="D5" s="18">
        <v>44286</v>
      </c>
      <c r="E5" s="24">
        <v>1349854</v>
      </c>
      <c r="I5" s="19">
        <v>2</v>
      </c>
      <c r="J5" s="20" t="s">
        <v>48</v>
      </c>
      <c r="K5" s="20"/>
      <c r="L5" s="20"/>
      <c r="M5" s="20"/>
    </row>
    <row r="6" spans="1:13" ht="18.5" x14ac:dyDescent="0.45">
      <c r="B6" s="17" t="s">
        <v>44</v>
      </c>
      <c r="C6" s="17" t="s">
        <v>51</v>
      </c>
      <c r="D6" s="18">
        <v>44286</v>
      </c>
      <c r="E6" s="24">
        <v>1104078</v>
      </c>
      <c r="I6" s="19">
        <v>3</v>
      </c>
      <c r="J6" s="41" t="s">
        <v>50</v>
      </c>
      <c r="K6" s="41"/>
      <c r="L6" s="41"/>
      <c r="M6" s="41"/>
    </row>
    <row r="7" spans="1:13" ht="18.5" x14ac:dyDescent="0.45">
      <c r="B7" s="17" t="s">
        <v>57</v>
      </c>
      <c r="C7" s="17" t="s">
        <v>45</v>
      </c>
      <c r="D7" s="18">
        <v>44286</v>
      </c>
      <c r="E7" s="24">
        <v>907526</v>
      </c>
      <c r="I7" s="19">
        <v>4</v>
      </c>
      <c r="J7" s="41" t="s">
        <v>52</v>
      </c>
      <c r="K7" s="41"/>
      <c r="L7" s="41"/>
      <c r="M7" s="41"/>
    </row>
    <row r="8" spans="1:13" ht="18.5" x14ac:dyDescent="0.45">
      <c r="B8" s="17" t="s">
        <v>57</v>
      </c>
      <c r="C8" s="17" t="s">
        <v>47</v>
      </c>
      <c r="D8" s="18">
        <v>44286</v>
      </c>
      <c r="E8" s="24">
        <v>1191364</v>
      </c>
      <c r="I8" s="19">
        <v>5</v>
      </c>
      <c r="J8" s="41" t="s">
        <v>53</v>
      </c>
      <c r="K8" s="41"/>
      <c r="L8" s="41"/>
      <c r="M8" s="41"/>
    </row>
    <row r="9" spans="1:13" ht="18.5" x14ac:dyDescent="0.45">
      <c r="B9" s="17" t="s">
        <v>57</v>
      </c>
      <c r="C9" s="17" t="s">
        <v>49</v>
      </c>
      <c r="D9" s="18">
        <v>44286</v>
      </c>
      <c r="E9" s="24">
        <v>1227391</v>
      </c>
      <c r="I9" s="16"/>
      <c r="J9" s="21"/>
      <c r="K9" s="21"/>
      <c r="L9" s="21"/>
      <c r="M9" s="21"/>
    </row>
    <row r="10" spans="1:13" ht="18.5" x14ac:dyDescent="0.45">
      <c r="B10" s="17" t="s">
        <v>57</v>
      </c>
      <c r="C10" s="17" t="s">
        <v>51</v>
      </c>
      <c r="D10" s="18">
        <v>44286</v>
      </c>
      <c r="E10" s="24">
        <v>1332342</v>
      </c>
      <c r="I10" s="16"/>
      <c r="J10" s="37" t="s">
        <v>1</v>
      </c>
      <c r="K10" s="37"/>
      <c r="L10" s="37"/>
      <c r="M10" s="22"/>
    </row>
    <row r="11" spans="1:13" ht="18.5" x14ac:dyDescent="0.45">
      <c r="B11" s="17" t="s">
        <v>58</v>
      </c>
      <c r="C11" s="17" t="s">
        <v>45</v>
      </c>
      <c r="D11" s="18">
        <v>44286</v>
      </c>
      <c r="E11" s="24">
        <v>1068137</v>
      </c>
      <c r="I11" s="16"/>
      <c r="J11" s="37" t="s">
        <v>54</v>
      </c>
      <c r="K11" s="37"/>
      <c r="L11" s="37"/>
      <c r="M11" s="22" t="str">
        <f>Pivot2!A23</f>
        <v>Fair Grocer</v>
      </c>
    </row>
    <row r="12" spans="1:13" ht="18.5" x14ac:dyDescent="0.45">
      <c r="B12" s="17" t="s">
        <v>58</v>
      </c>
      <c r="C12" s="17" t="s">
        <v>47</v>
      </c>
      <c r="D12" s="18">
        <v>44286</v>
      </c>
      <c r="E12" s="24">
        <v>1250695</v>
      </c>
      <c r="I12" s="16"/>
      <c r="J12" s="37" t="s">
        <v>55</v>
      </c>
      <c r="K12" s="37"/>
      <c r="L12" s="37"/>
      <c r="M12" s="22" t="str">
        <f>Pivot2!A10</f>
        <v>Uptown</v>
      </c>
    </row>
    <row r="13" spans="1:13" ht="18.75" customHeight="1" x14ac:dyDescent="0.45">
      <c r="B13" s="17" t="s">
        <v>58</v>
      </c>
      <c r="C13" s="17" t="s">
        <v>49</v>
      </c>
      <c r="D13" s="18">
        <v>44286</v>
      </c>
      <c r="E13" s="24">
        <v>898949</v>
      </c>
      <c r="I13" s="16"/>
      <c r="J13" s="38" t="s">
        <v>56</v>
      </c>
      <c r="K13" s="38"/>
      <c r="L13" s="38"/>
      <c r="M13" s="39">
        <f>Pivot2!C34</f>
        <v>27285680</v>
      </c>
    </row>
    <row r="14" spans="1:13" ht="18.75" customHeight="1" x14ac:dyDescent="0.45">
      <c r="B14" s="17" t="s">
        <v>58</v>
      </c>
      <c r="C14" s="17" t="s">
        <v>51</v>
      </c>
      <c r="D14" s="18">
        <v>44286</v>
      </c>
      <c r="E14" s="24">
        <v>1213455</v>
      </c>
      <c r="I14" s="16"/>
      <c r="J14" s="38"/>
      <c r="K14" s="38"/>
      <c r="L14" s="38"/>
      <c r="M14" s="39"/>
    </row>
    <row r="15" spans="1:13" ht="18.5" x14ac:dyDescent="0.45">
      <c r="B15" s="17" t="s">
        <v>59</v>
      </c>
      <c r="C15" s="17" t="s">
        <v>45</v>
      </c>
      <c r="D15" s="18">
        <v>44286</v>
      </c>
      <c r="E15" s="24">
        <v>1499269</v>
      </c>
      <c r="I15" s="16"/>
      <c r="J15" s="38"/>
      <c r="K15" s="38"/>
      <c r="L15" s="38"/>
      <c r="M15" s="39"/>
    </row>
    <row r="16" spans="1:13" x14ac:dyDescent="0.4">
      <c r="B16" s="17" t="s">
        <v>59</v>
      </c>
      <c r="C16" s="17" t="s">
        <v>47</v>
      </c>
      <c r="D16" s="18">
        <v>44286</v>
      </c>
      <c r="E16" s="24">
        <v>970517</v>
      </c>
      <c r="J16" s="38"/>
      <c r="K16" s="38"/>
      <c r="L16" s="38"/>
      <c r="M16" s="39"/>
    </row>
    <row r="17" spans="2:13" x14ac:dyDescent="0.4">
      <c r="B17" s="17" t="s">
        <v>59</v>
      </c>
      <c r="C17" s="17" t="s">
        <v>49</v>
      </c>
      <c r="D17" s="18">
        <v>44286</v>
      </c>
      <c r="E17" s="24">
        <v>1141777</v>
      </c>
      <c r="J17" s="38"/>
      <c r="K17" s="38"/>
      <c r="L17" s="38"/>
      <c r="M17" s="39"/>
    </row>
    <row r="18" spans="2:13" x14ac:dyDescent="0.4">
      <c r="B18" s="17" t="s">
        <v>59</v>
      </c>
      <c r="C18" s="17" t="s">
        <v>51</v>
      </c>
      <c r="D18" s="18">
        <v>44286</v>
      </c>
      <c r="E18" s="24">
        <v>856208</v>
      </c>
    </row>
    <row r="19" spans="2:13" x14ac:dyDescent="0.4">
      <c r="B19" s="17" t="s">
        <v>44</v>
      </c>
      <c r="C19" s="17" t="s">
        <v>45</v>
      </c>
      <c r="D19" s="18">
        <v>44377</v>
      </c>
      <c r="E19" s="24">
        <v>856808</v>
      </c>
    </row>
    <row r="20" spans="2:13" x14ac:dyDescent="0.4">
      <c r="B20" s="17" t="s">
        <v>44</v>
      </c>
      <c r="C20" s="17" t="s">
        <v>47</v>
      </c>
      <c r="D20" s="18">
        <v>44377</v>
      </c>
      <c r="E20" s="24">
        <v>1449931</v>
      </c>
    </row>
    <row r="21" spans="2:13" x14ac:dyDescent="0.4">
      <c r="B21" s="17" t="s">
        <v>44</v>
      </c>
      <c r="C21" s="17" t="s">
        <v>49</v>
      </c>
      <c r="D21" s="18">
        <v>44377</v>
      </c>
      <c r="E21" s="24">
        <v>906792</v>
      </c>
    </row>
    <row r="22" spans="2:13" x14ac:dyDescent="0.4">
      <c r="B22" s="17" t="s">
        <v>44</v>
      </c>
      <c r="C22" s="17" t="s">
        <v>51</v>
      </c>
      <c r="D22" s="18">
        <v>44377</v>
      </c>
      <c r="E22" s="24">
        <v>945886</v>
      </c>
    </row>
    <row r="23" spans="2:13" x14ac:dyDescent="0.4">
      <c r="B23" s="17" t="s">
        <v>57</v>
      </c>
      <c r="C23" s="17" t="s">
        <v>45</v>
      </c>
      <c r="D23" s="18">
        <v>44377</v>
      </c>
      <c r="E23" s="24">
        <v>1269010</v>
      </c>
    </row>
    <row r="24" spans="2:13" x14ac:dyDescent="0.4">
      <c r="B24" s="17" t="s">
        <v>57</v>
      </c>
      <c r="C24" s="17" t="s">
        <v>47</v>
      </c>
      <c r="D24" s="18">
        <v>44377</v>
      </c>
      <c r="E24" s="24">
        <v>994590</v>
      </c>
    </row>
    <row r="25" spans="2:13" x14ac:dyDescent="0.4">
      <c r="B25" s="17" t="s">
        <v>57</v>
      </c>
      <c r="C25" s="17" t="s">
        <v>49</v>
      </c>
      <c r="D25" s="18">
        <v>44377</v>
      </c>
      <c r="E25" s="24">
        <v>894997</v>
      </c>
    </row>
    <row r="26" spans="2:13" x14ac:dyDescent="0.4">
      <c r="B26" s="17" t="s">
        <v>57</v>
      </c>
      <c r="C26" s="17" t="s">
        <v>51</v>
      </c>
      <c r="D26" s="18">
        <v>44377</v>
      </c>
      <c r="E26" s="24">
        <v>904338</v>
      </c>
    </row>
    <row r="27" spans="2:13" x14ac:dyDescent="0.4">
      <c r="B27" s="17" t="s">
        <v>58</v>
      </c>
      <c r="C27" s="17" t="s">
        <v>45</v>
      </c>
      <c r="D27" s="18">
        <v>44377</v>
      </c>
      <c r="E27" s="24">
        <v>1164510</v>
      </c>
    </row>
    <row r="28" spans="2:13" x14ac:dyDescent="0.4">
      <c r="B28" s="17" t="s">
        <v>58</v>
      </c>
      <c r="C28" s="17" t="s">
        <v>47</v>
      </c>
      <c r="D28" s="18">
        <v>44377</v>
      </c>
      <c r="E28" s="24">
        <v>1163870</v>
      </c>
    </row>
    <row r="29" spans="2:13" x14ac:dyDescent="0.4">
      <c r="B29" s="17" t="s">
        <v>58</v>
      </c>
      <c r="C29" s="17" t="s">
        <v>49</v>
      </c>
      <c r="D29" s="18">
        <v>44377</v>
      </c>
      <c r="E29" s="24">
        <v>906880</v>
      </c>
    </row>
    <row r="30" spans="2:13" x14ac:dyDescent="0.4">
      <c r="B30" s="17" t="s">
        <v>58</v>
      </c>
      <c r="C30" s="17" t="s">
        <v>51</v>
      </c>
      <c r="D30" s="18">
        <v>44377</v>
      </c>
      <c r="E30" s="24">
        <v>894539</v>
      </c>
    </row>
    <row r="31" spans="2:13" x14ac:dyDescent="0.4">
      <c r="B31" s="17" t="s">
        <v>59</v>
      </c>
      <c r="C31" s="17" t="s">
        <v>45</v>
      </c>
      <c r="D31" s="18">
        <v>44377</v>
      </c>
      <c r="E31" s="24">
        <v>1064145</v>
      </c>
    </row>
    <row r="32" spans="2:13" x14ac:dyDescent="0.4">
      <c r="B32" s="17" t="s">
        <v>59</v>
      </c>
      <c r="C32" s="17" t="s">
        <v>47</v>
      </c>
      <c r="D32" s="18">
        <v>44377</v>
      </c>
      <c r="E32" s="24">
        <v>955424</v>
      </c>
    </row>
    <row r="33" spans="2:5" x14ac:dyDescent="0.4">
      <c r="B33" s="17" t="s">
        <v>59</v>
      </c>
      <c r="C33" s="17" t="s">
        <v>49</v>
      </c>
      <c r="D33" s="18">
        <v>44377</v>
      </c>
      <c r="E33" s="24">
        <v>903006</v>
      </c>
    </row>
    <row r="34" spans="2:5" x14ac:dyDescent="0.4">
      <c r="B34" s="17" t="s">
        <v>59</v>
      </c>
      <c r="C34" s="17" t="s">
        <v>51</v>
      </c>
      <c r="D34" s="18">
        <v>44377</v>
      </c>
      <c r="E34" s="24">
        <v>1420494</v>
      </c>
    </row>
    <row r="35" spans="2:5" x14ac:dyDescent="0.4">
      <c r="B35" s="17" t="s">
        <v>44</v>
      </c>
      <c r="C35" s="17" t="s">
        <v>45</v>
      </c>
      <c r="D35" s="18">
        <v>44469</v>
      </c>
      <c r="E35" s="24">
        <v>1309137</v>
      </c>
    </row>
    <row r="36" spans="2:5" x14ac:dyDescent="0.4">
      <c r="B36" s="17" t="s">
        <v>44</v>
      </c>
      <c r="C36" s="17" t="s">
        <v>47</v>
      </c>
      <c r="D36" s="18">
        <v>44469</v>
      </c>
      <c r="E36" s="24">
        <v>1216894</v>
      </c>
    </row>
    <row r="37" spans="2:5" x14ac:dyDescent="0.4">
      <c r="B37" s="17" t="s">
        <v>44</v>
      </c>
      <c r="C37" s="17" t="s">
        <v>49</v>
      </c>
      <c r="D37" s="18">
        <v>44469</v>
      </c>
      <c r="E37" s="24">
        <v>1331072</v>
      </c>
    </row>
    <row r="38" spans="2:5" x14ac:dyDescent="0.4">
      <c r="B38" s="17" t="s">
        <v>44</v>
      </c>
      <c r="C38" s="17" t="s">
        <v>51</v>
      </c>
      <c r="D38" s="18">
        <v>44469</v>
      </c>
      <c r="E38" s="24">
        <v>1431195</v>
      </c>
    </row>
    <row r="39" spans="2:5" x14ac:dyDescent="0.4">
      <c r="B39" s="17" t="s">
        <v>57</v>
      </c>
      <c r="C39" s="17" t="s">
        <v>45</v>
      </c>
      <c r="D39" s="18">
        <v>44469</v>
      </c>
      <c r="E39" s="24">
        <v>962731</v>
      </c>
    </row>
    <row r="40" spans="2:5" x14ac:dyDescent="0.4">
      <c r="B40" s="17" t="s">
        <v>57</v>
      </c>
      <c r="C40" s="17" t="s">
        <v>47</v>
      </c>
      <c r="D40" s="18">
        <v>44469</v>
      </c>
      <c r="E40" s="24">
        <v>953786</v>
      </c>
    </row>
    <row r="41" spans="2:5" x14ac:dyDescent="0.4">
      <c r="B41" s="17" t="s">
        <v>57</v>
      </c>
      <c r="C41" s="17" t="s">
        <v>49</v>
      </c>
      <c r="D41" s="18">
        <v>44469</v>
      </c>
      <c r="E41" s="24">
        <v>1419314</v>
      </c>
    </row>
    <row r="42" spans="2:5" x14ac:dyDescent="0.4">
      <c r="B42" s="17" t="s">
        <v>57</v>
      </c>
      <c r="C42" s="17" t="s">
        <v>51</v>
      </c>
      <c r="D42" s="18">
        <v>44469</v>
      </c>
      <c r="E42" s="24">
        <v>1436093</v>
      </c>
    </row>
    <row r="43" spans="2:5" x14ac:dyDescent="0.4">
      <c r="B43" s="17" t="s">
        <v>58</v>
      </c>
      <c r="C43" s="17" t="s">
        <v>45</v>
      </c>
      <c r="D43" s="18">
        <v>44469</v>
      </c>
      <c r="E43" s="24">
        <v>913945</v>
      </c>
    </row>
    <row r="44" spans="2:5" x14ac:dyDescent="0.4">
      <c r="B44" s="17" t="s">
        <v>58</v>
      </c>
      <c r="C44" s="17" t="s">
        <v>47</v>
      </c>
      <c r="D44" s="18">
        <v>44469</v>
      </c>
      <c r="E44" s="24">
        <v>1440870</v>
      </c>
    </row>
    <row r="45" spans="2:5" x14ac:dyDescent="0.4">
      <c r="B45" s="17" t="s">
        <v>58</v>
      </c>
      <c r="C45" s="17" t="s">
        <v>49</v>
      </c>
      <c r="D45" s="18">
        <v>44469</v>
      </c>
      <c r="E45" s="24">
        <v>1280710</v>
      </c>
    </row>
    <row r="46" spans="2:5" x14ac:dyDescent="0.4">
      <c r="B46" s="17" t="s">
        <v>58</v>
      </c>
      <c r="C46" s="17" t="s">
        <v>51</v>
      </c>
      <c r="D46" s="18">
        <v>44469</v>
      </c>
      <c r="E46" s="24">
        <v>1023357</v>
      </c>
    </row>
    <row r="47" spans="2:5" x14ac:dyDescent="0.4">
      <c r="B47" s="17" t="s">
        <v>59</v>
      </c>
      <c r="C47" s="17" t="s">
        <v>45</v>
      </c>
      <c r="D47" s="18">
        <v>44469</v>
      </c>
      <c r="E47" s="24">
        <v>1267870</v>
      </c>
    </row>
    <row r="48" spans="2:5" x14ac:dyDescent="0.4">
      <c r="B48" s="17" t="s">
        <v>59</v>
      </c>
      <c r="C48" s="17" t="s">
        <v>47</v>
      </c>
      <c r="D48" s="18">
        <v>44469</v>
      </c>
      <c r="E48" s="24">
        <v>1013266</v>
      </c>
    </row>
    <row r="49" spans="2:7" x14ac:dyDescent="0.4">
      <c r="B49" s="17" t="s">
        <v>59</v>
      </c>
      <c r="C49" s="17" t="s">
        <v>49</v>
      </c>
      <c r="D49" s="18">
        <v>44469</v>
      </c>
      <c r="E49" s="24">
        <v>1416121</v>
      </c>
    </row>
    <row r="50" spans="2:7" x14ac:dyDescent="0.4">
      <c r="B50" s="17" t="s">
        <v>59</v>
      </c>
      <c r="C50" s="17" t="s">
        <v>51</v>
      </c>
      <c r="D50" s="18">
        <v>44469</v>
      </c>
      <c r="E50" s="24">
        <v>1261584</v>
      </c>
    </row>
    <row r="51" spans="2:7" x14ac:dyDescent="0.4">
      <c r="B51" s="28">
        <f>SUBTOTAL(103,Table4[Store Name])</f>
        <v>48</v>
      </c>
      <c r="C51" s="28">
        <f>SUBTOTAL(103,Table4[Region])</f>
        <v>48</v>
      </c>
      <c r="D51" s="35">
        <f>SUBTOTAL(103,Table4[Report_Date])</f>
        <v>48</v>
      </c>
      <c r="E51" s="36">
        <f>SUBTOTAL(109,Table4[Reported_Sales])</f>
        <v>54548843</v>
      </c>
      <c r="G51" s="29">
        <f>SUM(E3:E50)</f>
        <v>54548843</v>
      </c>
    </row>
  </sheetData>
  <mergeCells count="10">
    <mergeCell ref="J11:L11"/>
    <mergeCell ref="J12:L12"/>
    <mergeCell ref="J13:L17"/>
    <mergeCell ref="M13:M17"/>
    <mergeCell ref="J3:M3"/>
    <mergeCell ref="J4:M4"/>
    <mergeCell ref="J6:M6"/>
    <mergeCell ref="J7:M7"/>
    <mergeCell ref="J8:M8"/>
    <mergeCell ref="J10:L10"/>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4E2AC-F02E-4C24-BE26-D6223BB0D8DF}">
  <dimension ref="A5:C36"/>
  <sheetViews>
    <sheetView topLeftCell="A29" zoomScaleNormal="100" workbookViewId="0">
      <selection activeCell="C34" sqref="C34"/>
    </sheetView>
  </sheetViews>
  <sheetFormatPr defaultRowHeight="16" x14ac:dyDescent="0.4"/>
  <cols>
    <col min="1" max="1" width="12.5703125" bestFit="1" customWidth="1"/>
    <col min="2" max="2" width="22" bestFit="1" customWidth="1"/>
    <col min="3" max="3" width="23.0703125" bestFit="1" customWidth="1"/>
    <col min="4" max="4" width="22" bestFit="1" customWidth="1"/>
    <col min="5" max="6" width="11.78515625" bestFit="1" customWidth="1"/>
    <col min="7" max="7" width="16.5703125" bestFit="1" customWidth="1"/>
    <col min="8" max="10" width="10.78515625" bestFit="1" customWidth="1"/>
    <col min="11" max="11" width="21" bestFit="1" customWidth="1"/>
    <col min="12" max="12" width="15.5703125" bestFit="1" customWidth="1"/>
    <col min="13" max="15" width="10.78515625" bestFit="1" customWidth="1"/>
    <col min="16" max="16" width="19.92578125" bestFit="1" customWidth="1"/>
    <col min="17" max="17" width="13.5" bestFit="1" customWidth="1"/>
    <col min="18" max="20" width="10.78515625" bestFit="1" customWidth="1"/>
    <col min="21" max="21" width="17.92578125" bestFit="1" customWidth="1"/>
    <col min="22" max="22" width="11.78515625" bestFit="1" customWidth="1"/>
  </cols>
  <sheetData>
    <row r="5" spans="1:3" x14ac:dyDescent="0.4">
      <c r="A5" s="23" t="s">
        <v>40</v>
      </c>
      <c r="B5" s="30" t="s">
        <v>63</v>
      </c>
      <c r="C5">
        <f>COUNTA(A8:A11)</f>
        <v>4</v>
      </c>
    </row>
    <row r="7" spans="1:3" x14ac:dyDescent="0.4">
      <c r="A7" s="23" t="s">
        <v>62</v>
      </c>
      <c r="B7" t="s">
        <v>61</v>
      </c>
    </row>
    <row r="8" spans="1:3" x14ac:dyDescent="0.4">
      <c r="A8" s="27" t="s">
        <v>51</v>
      </c>
      <c r="B8" s="31">
        <v>13823569</v>
      </c>
    </row>
    <row r="9" spans="1:3" x14ac:dyDescent="0.4">
      <c r="A9" s="26" t="s">
        <v>49</v>
      </c>
      <c r="B9" s="30">
        <v>13676863</v>
      </c>
    </row>
    <row r="10" spans="1:3" x14ac:dyDescent="0.4">
      <c r="A10" s="26" t="s">
        <v>45</v>
      </c>
      <c r="B10" s="30">
        <v>13525765</v>
      </c>
    </row>
    <row r="11" spans="1:3" x14ac:dyDescent="0.4">
      <c r="A11" s="26" t="s">
        <v>47</v>
      </c>
      <c r="B11" s="30">
        <v>13522646</v>
      </c>
    </row>
    <row r="12" spans="1:3" x14ac:dyDescent="0.4">
      <c r="A12" s="26" t="s">
        <v>60</v>
      </c>
      <c r="B12" s="30">
        <v>54548843</v>
      </c>
    </row>
    <row r="19" spans="1:2" x14ac:dyDescent="0.4">
      <c r="A19" s="23" t="s">
        <v>22</v>
      </c>
      <c r="B19" s="30" t="s">
        <v>63</v>
      </c>
    </row>
    <row r="21" spans="1:2" x14ac:dyDescent="0.4">
      <c r="A21" s="23" t="s">
        <v>62</v>
      </c>
      <c r="B21" t="s">
        <v>61</v>
      </c>
    </row>
    <row r="22" spans="1:2" x14ac:dyDescent="0.4">
      <c r="A22" s="27" t="s">
        <v>44</v>
      </c>
      <c r="B22" s="31">
        <v>14065763</v>
      </c>
    </row>
    <row r="23" spans="1:2" x14ac:dyDescent="0.4">
      <c r="A23" s="26" t="s">
        <v>59</v>
      </c>
      <c r="B23" s="30">
        <v>13769681</v>
      </c>
    </row>
    <row r="24" spans="1:2" x14ac:dyDescent="0.4">
      <c r="A24" s="26" t="s">
        <v>57</v>
      </c>
      <c r="B24" s="30">
        <v>13493482</v>
      </c>
    </row>
    <row r="25" spans="1:2" x14ac:dyDescent="0.4">
      <c r="A25" s="26" t="s">
        <v>58</v>
      </c>
      <c r="B25" s="30">
        <v>13219917</v>
      </c>
    </row>
    <row r="26" spans="1:2" x14ac:dyDescent="0.4">
      <c r="A26" s="26" t="s">
        <v>60</v>
      </c>
      <c r="B26" s="30">
        <v>54548843</v>
      </c>
    </row>
    <row r="31" spans="1:2" x14ac:dyDescent="0.4">
      <c r="A31" s="23" t="s">
        <v>22</v>
      </c>
      <c r="B31" s="30" t="s">
        <v>63</v>
      </c>
    </row>
    <row r="33" spans="1:3" x14ac:dyDescent="0.4">
      <c r="A33" s="23" t="s">
        <v>62</v>
      </c>
      <c r="B33" t="s">
        <v>61</v>
      </c>
    </row>
    <row r="34" spans="1:3" x14ac:dyDescent="0.4">
      <c r="A34" s="26" t="s">
        <v>58</v>
      </c>
      <c r="B34" s="30">
        <v>13219917</v>
      </c>
      <c r="C34" s="25">
        <f>SUM(B34:B35)</f>
        <v>27285680</v>
      </c>
    </row>
    <row r="35" spans="1:3" x14ac:dyDescent="0.4">
      <c r="A35" s="26" t="s">
        <v>44</v>
      </c>
      <c r="B35" s="30">
        <v>14065763</v>
      </c>
    </row>
    <row r="36" spans="1:3" x14ac:dyDescent="0.4">
      <c r="A36" s="26" t="s">
        <v>60</v>
      </c>
      <c r="B36" s="30">
        <v>27285680</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5977B-D281-45D5-BD0B-53C5D0186A3D}">
  <dimension ref="A1:A4"/>
  <sheetViews>
    <sheetView showGridLines="0" tabSelected="1" topLeftCell="A13" zoomScale="40" zoomScaleNormal="40" workbookViewId="0">
      <selection activeCell="H40" sqref="H40"/>
    </sheetView>
  </sheetViews>
  <sheetFormatPr defaultRowHeight="16" x14ac:dyDescent="0.4"/>
  <cols>
    <col min="1" max="1" width="55.42578125" style="33" bestFit="1" customWidth="1"/>
    <col min="2" max="2" width="22" style="33" bestFit="1" customWidth="1"/>
    <col min="3" max="3" width="9.140625" style="33"/>
    <col min="4" max="4" width="8.7109375" style="33" customWidth="1"/>
    <col min="5" max="16384" width="9.140625" style="33"/>
  </cols>
  <sheetData>
    <row r="1" spans="1:1" ht="22.5" x14ac:dyDescent="0.45">
      <c r="A1" s="32"/>
    </row>
    <row r="4" spans="1:1" x14ac:dyDescent="0.4">
      <c r="A4" s="34"/>
    </row>
  </sheetData>
  <pageMargins left="0.7" right="0.7" top="0.75" bottom="0.75" header="0.3" footer="0.3"/>
  <pageSetup paperSize="6"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D9FF9DF5BCFFD42A0D5617B9D18FB89" ma:contentTypeVersion="4" ma:contentTypeDescription="Create a new document." ma:contentTypeScope="" ma:versionID="2841934f81bc4cfb900570f79c0532cd">
  <xsd:schema xmlns:xsd="http://www.w3.org/2001/XMLSchema" xmlns:xs="http://www.w3.org/2001/XMLSchema" xmlns:p="http://schemas.microsoft.com/office/2006/metadata/properties" xmlns:ns2="84d60d80-5f5b-4137-9f7f-aa35e391db8c" targetNamespace="http://schemas.microsoft.com/office/2006/metadata/properties" ma:root="true" ma:fieldsID="3a3ea369e37df7e9f5c63e773dc1f009" ns2:_="">
    <xsd:import namespace="84d60d80-5f5b-4137-9f7f-aa35e391db8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d60d80-5f5b-4137-9f7f-aa35e391db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C72FE5B-C55C-4229-B71A-733BF9A5181A}">
  <ds:schemaRefs>
    <ds:schemaRef ds:uri="http://schemas.microsoft.com/sharepoint/v3/contenttype/forms"/>
  </ds:schemaRefs>
</ds:datastoreItem>
</file>

<file path=customXml/itemProps2.xml><?xml version="1.0" encoding="utf-8"?>
<ds:datastoreItem xmlns:ds="http://schemas.openxmlformats.org/officeDocument/2006/customXml" ds:itemID="{6852C49F-E698-4713-96B0-4D2413E91320}">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C9C79389-DA5A-450D-A9C7-83EECC9CAC4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4d60d80-5f5b-4137-9f7f-aa35e391db8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Unique</vt:lpstr>
      <vt:lpstr>SORT FUNCTION</vt:lpstr>
      <vt:lpstr>FILTER FUNCTION</vt:lpstr>
      <vt:lpstr>Pivot Table Diagram</vt:lpstr>
      <vt:lpstr>LAB</vt:lpstr>
      <vt:lpstr>Pivot2</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Karim Faz</dc:creator>
  <cp:keywords/>
  <dc:description/>
  <cp:lastModifiedBy>HomePC</cp:lastModifiedBy>
  <cp:revision/>
  <cp:lastPrinted>2026-05-20T10:54:55Z</cp:lastPrinted>
  <dcterms:created xsi:type="dcterms:W3CDTF">2019-02-03T23:14:41Z</dcterms:created>
  <dcterms:modified xsi:type="dcterms:W3CDTF">2026-05-24T14:29:01Z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0x0101008D9FF9DF5BCFFD42A0D5617B9D18FB89</vt:lpwstr>
  </property>
</Properties>
</file>